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rajes\Downloads\"/>
    </mc:Choice>
  </mc:AlternateContent>
  <xr:revisionPtr revIDLastSave="0" documentId="13_ncr:1_{09CFB6DD-3BFA-4D95-9558-43132813F7A8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Sales_Data" sheetId="1" r:id="rId1"/>
    <sheet name="Pivot_Tasks" sheetId="2" r:id="rId2"/>
    <sheet name="Practice_Sheet" sheetId="3" r:id="rId3"/>
  </sheets>
  <calcPr calcId="0" iterateDelta="1E-4"/>
  <pivotCaches>
    <pivotCache cacheId="0" r:id="rId4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<sst xmlns="http://schemas.openxmlformats.org/spreadsheetml/2006/main" count="523" uniqueCount="129">
  <si>
    <t>Date</t>
  </si>
  <si>
    <t>Month</t>
  </si>
  <si>
    <t>Quarter</t>
  </si>
  <si>
    <t>Region</t>
  </si>
  <si>
    <t>Salesperson</t>
  </si>
  <si>
    <t>Product</t>
  </si>
  <si>
    <t>Category</t>
  </si>
  <si>
    <t>Units_Sold</t>
  </si>
  <si>
    <t>Unit_Price</t>
  </si>
  <si>
    <t>Revenue</t>
  </si>
  <si>
    <t>Cost</t>
  </si>
  <si>
    <t>Profit</t>
  </si>
  <si>
    <t>Profit_Margin%</t>
  </si>
  <si>
    <t>01-Jan-2026</t>
  </si>
  <si>
    <t>January</t>
  </si>
  <si>
    <t>Q1</t>
  </si>
  <si>
    <t>North</t>
  </si>
  <si>
    <t>Rahul Sharma</t>
  </si>
  <si>
    <t>Mutual Fund</t>
  </si>
  <si>
    <t>Investment</t>
  </si>
  <si>
    <t>03-Jan-2026</t>
  </si>
  <si>
    <t>South</t>
  </si>
  <si>
    <t>Priya Nair</t>
  </si>
  <si>
    <t>Fixed Deposit</t>
  </si>
  <si>
    <t>Banking</t>
  </si>
  <si>
    <t>05-Jan-2026</t>
  </si>
  <si>
    <t>West</t>
  </si>
  <si>
    <t>Arjun Mehta</t>
  </si>
  <si>
    <t>Term Insurance</t>
  </si>
  <si>
    <t>Insurance</t>
  </si>
  <si>
    <t>07-Jan-2026</t>
  </si>
  <si>
    <t>East</t>
  </si>
  <si>
    <t>Sneha Das</t>
  </si>
  <si>
    <t>Stock Advisory</t>
  </si>
  <si>
    <t>10-Jan-2026</t>
  </si>
  <si>
    <t>12-Jan-2026</t>
  </si>
  <si>
    <t>14-Jan-2026</t>
  </si>
  <si>
    <t>16-Jan-2026</t>
  </si>
  <si>
    <t>Health Insurance</t>
  </si>
  <si>
    <t>18-Jan-2026</t>
  </si>
  <si>
    <t>Central</t>
  </si>
  <si>
    <t>Vikram Singh</t>
  </si>
  <si>
    <t>20-Jan-2026</t>
  </si>
  <si>
    <t>22-Jan-2026</t>
  </si>
  <si>
    <t>24-Jan-2026</t>
  </si>
  <si>
    <t>26-Jan-2026</t>
  </si>
  <si>
    <t>28-Jan-2026</t>
  </si>
  <si>
    <t>30-Jan-2026</t>
  </si>
  <si>
    <t>02-Feb-2026</t>
  </si>
  <si>
    <t>February</t>
  </si>
  <si>
    <t>04-Feb-2026</t>
  </si>
  <si>
    <t>06-Feb-2026</t>
  </si>
  <si>
    <t>08-Feb-2026</t>
  </si>
  <si>
    <t>10-Feb-2026</t>
  </si>
  <si>
    <t>12-Feb-2026</t>
  </si>
  <si>
    <t>14-Feb-2026</t>
  </si>
  <si>
    <t>16-Feb-2026</t>
  </si>
  <si>
    <t>18-Feb-2026</t>
  </si>
  <si>
    <t>20-Feb-2026</t>
  </si>
  <si>
    <t>02-Mar-2026</t>
  </si>
  <si>
    <t>March</t>
  </si>
  <si>
    <t>04-Mar-2026</t>
  </si>
  <si>
    <t>06-Mar-2026</t>
  </si>
  <si>
    <t>08-Mar-2026</t>
  </si>
  <si>
    <t>10-Mar-2026</t>
  </si>
  <si>
    <t>01-Apr-2026</t>
  </si>
  <si>
    <t>April</t>
  </si>
  <si>
    <t>Q2</t>
  </si>
  <si>
    <t>03-Apr-2026</t>
  </si>
  <si>
    <t>05-Apr-2026</t>
  </si>
  <si>
    <t>07-Apr-2026</t>
  </si>
  <si>
    <t>09-Apr-2026</t>
  </si>
  <si>
    <t>11-Apr-2026</t>
  </si>
  <si>
    <t>13-Apr-2026</t>
  </si>
  <si>
    <t>15-Apr-2026</t>
  </si>
  <si>
    <t>17-Apr-2026</t>
  </si>
  <si>
    <t>19-Apr-2026</t>
  </si>
  <si>
    <t>21-Apr-2026</t>
  </si>
  <si>
    <t>23-Apr-2026</t>
  </si>
  <si>
    <t>25-Apr-2026</t>
  </si>
  <si>
    <t>27-Apr-2026</t>
  </si>
  <si>
    <t>29-Apr-2026</t>
  </si>
  <si>
    <t>01-May-2026</t>
  </si>
  <si>
    <t>May</t>
  </si>
  <si>
    <t>03-May-2026</t>
  </si>
  <si>
    <t>05-May-2026</t>
  </si>
  <si>
    <t>07-May-2026</t>
  </si>
  <si>
    <t>09-May-2026</t>
  </si>
  <si>
    <t>11-May-2026</t>
  </si>
  <si>
    <t>13-May-2026</t>
  </si>
  <si>
    <t>15-May-2026</t>
  </si>
  <si>
    <t>17-May-2026</t>
  </si>
  <si>
    <t>19-May-2026</t>
  </si>
  <si>
    <t>21-May-2026</t>
  </si>
  <si>
    <t>23-May-2026</t>
  </si>
  <si>
    <t>25-May-2026</t>
  </si>
  <si>
    <t>27-May-2026</t>
  </si>
  <si>
    <t>29-May-2026</t>
  </si>
  <si>
    <t>DAY 25 - PIVOT TABLE PRACTICE TASKS</t>
  </si>
  <si>
    <t>Use the Sales_Data sheet to build the following pivot analyses:</t>
  </si>
  <si>
    <t>Task</t>
  </si>
  <si>
    <t>Description</t>
  </si>
  <si>
    <t>TASK 1:</t>
  </si>
  <si>
    <t>Revenue by Region — Which region earns the most?</t>
  </si>
  <si>
    <t>TASK 2:</t>
  </si>
  <si>
    <t>Revenue by Salesperson — Who is the top performer?</t>
  </si>
  <si>
    <t>TASK 3:</t>
  </si>
  <si>
    <t>Revenue by Product Category (Investment / Insurance / Banking)</t>
  </si>
  <si>
    <t>TASK 4:</t>
  </si>
  <si>
    <t>Units Sold by Month — Spot seasonal trends</t>
  </si>
  <si>
    <t>TASK 5:</t>
  </si>
  <si>
    <t>Average Profit Margin% by Product — Which product is most profitable?</t>
  </si>
  <si>
    <t>TASK 6:</t>
  </si>
  <si>
    <t>Revenue by Quarter AND Region (2D pivot)</t>
  </si>
  <si>
    <t>TASK 7 (Bonus):</t>
  </si>
  <si>
    <t>Top 3 salesperson by profit using GETPIVOTDATA formula</t>
  </si>
  <si>
    <t>TASK 1</t>
  </si>
  <si>
    <t>TASK 2</t>
  </si>
  <si>
    <t>TASK 5</t>
  </si>
  <si>
    <t>Row Labels</t>
  </si>
  <si>
    <t>Sum of Revenue</t>
  </si>
  <si>
    <t>Sum of Profit_Margin%</t>
  </si>
  <si>
    <t>Grand Total</t>
  </si>
  <si>
    <t>TASK 3</t>
  </si>
  <si>
    <t xml:space="preserve">TASK 4 </t>
  </si>
  <si>
    <t>TASK 6</t>
  </si>
  <si>
    <t>Sum of Units_Sold</t>
  </si>
  <si>
    <t>Column Labels</t>
  </si>
  <si>
    <t>Average of Profit_Margin%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</si>
</sst>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₹#,##0"/>
    <numFmt numFmtId="165" formatCode="0.0\%"/>
  </numFmts>
  <fonts count="9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4"/>
      <color rgb="FF1F4E79"/>
      <name val="Arial"/>
      <charset val="1"/>
    </font>
    <font>
      <i/>
      <sz val="11"/>
      <name val="Arial"/>
      <charset val="1"/>
    </font>
    <font>
      <b/>
      <sz val="11"/>
      <name val="Arial"/>
      <charset val="1"/>
    </font>
    <font>
      <b/>
      <sz val="11"/>
      <color rgb="FFC00000"/>
      <name val="Arial"/>
      <charset val="1"/>
    </font>
    <font>
      <sz val="11"/>
      <name val="Arial"/>
      <charset val="1"/>
    </font>
    <font>
      <sz val="11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BF3FB"/>
        <bgColor rgb="FFFFFFFF"/>
      </patternFill>
    </fill>
    <fill>
      <patternFill patternType="solid">
        <fgColor rgb="FFFFFFFF"/>
        <bgColor rgb="FFEBF3FB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1" xfId="0" applyFont="1" applyFill="1" applyBorder="1"/>
    <xf numFmtId="164" fontId="2" fillId="3" borderId="1" xfId="0" applyNumberFormat="1" applyFont="1" applyFill="1" applyBorder="1"/>
    <xf numFmtId="165" fontId="2" fillId="3" borderId="1" xfId="0" applyNumberFormat="1" applyFont="1" applyFill="1" applyBorder="1"/>
    <xf numFmtId="0" fontId="2" fillId="4" borderId="1" xfId="0" applyFont="1" applyFill="1" applyBorder="1"/>
    <xf numFmtId="164" fontId="2" fillId="4" borderId="1" xfId="0" applyNumberFormat="1" applyFont="1" applyFill="1" applyBorder="1"/>
    <xf numFmtId="165" fontId="2" fillId="4" borderId="1" xfId="0" applyNumberFormat="1" applyFont="1" applyFill="1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5" borderId="0" xfId="0" applyFont="1" applyFill="1" applyAlignment="1">
      <alignment horizontal="center" vertical="top"/>
    </xf>
    <xf numFmtId="0" fontId="0" fillId="5" borderId="0" xfId="0" applyFill="1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/>
    <xf numFmtId="0" fontId="0" fillId="6" borderId="0" xfId="0" applyFill="1" applyAlignment="1">
      <alignment horizontal="left"/>
    </xf>
    <xf numFmtId="165" fontId="0" fillId="6" borderId="0" xfId="0" applyNumberFormat="1" applyFill="1"/>
    <xf numFmtId="164" fontId="0" fillId="6" borderId="0" xfId="0" applyNumberFormat="1" applyFill="1"/>
    <xf numFmtId="165" fontId="0" fillId="0" borderId="0" xfId="0" applyNumberFormat="1"/>
    <xf numFmtId="0" fontId="0" fillId="5" borderId="0" xfId="0" applyFill="1"/>
    <xf numFmtId="0" fontId="0" fillId="6" borderId="0" xfId="0" applyFill="1"/>
    <xf numFmtId="0" fontId="0" fillId="0" borderId="0" xfId="0" pivotButton="1"/>
    <xf numFmtId="0" fontId="0" fillId="0" borderId="0" xfId="0" pivotButton="1" applyAlignment="1">
      <alignment horizontal="center"/>
    </xf>
    <xf numFmtId="10" fontId="0" fillId="0" borderId="0" xfId="0" applyNumberFormat="1"/>
    <xf numFmtId="10" fontId="0" fillId="6" borderId="0" xfId="0" applyNumberFormat="1" applyFill="1"/>
  </cellXfs>
  <cellStyles count="1">
    <cellStyle name="Normal" xfId="0" builtinId="0"/>
  </cellStyles>
  <dxfs count="36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4" formatCode="0.00%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center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BF3FB"/>
      <rgbColor rgb="FF660066"/>
      <rgbColor rgb="FFFF8080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dk1">
                  <a:tint val="88500"/>
                  <a:shade val="51000"/>
                </a:schemeClr>
              </a:gs>
              <a:gs pos="80000">
                <a:schemeClr val="dk1">
                  <a:tint val="88500"/>
                  <a:shade val="93000"/>
                </a:schemeClr>
              </a:gs>
              <a:gs pos="100000">
                <a:schemeClr val="dk1">
                  <a:tint val="88500"/>
                  <a:shade val="94000"/>
                </a:schemeClr>
              </a:gs>
            </a:gsLst>
            <a:lin ang="16200000" scaled="0"/>
            <a:tileRect/>
          </a:gradFill>
          <a:ln>
            <a:noFill/>
          </a:ln>
          <a:effectLst/>
        </c:spPr>
        <c:marker>
          <c:spPr>
            <a:gradFill>
              <a:gsLst>
                <a:gs pos="0">
                  <a:schemeClr val="dk1">
                    <a:tint val="88500"/>
                    <a:shade val="51000"/>
                  </a:schemeClr>
                </a:gs>
                <a:gs pos="80000">
                  <a:schemeClr val="dk1">
                    <a:tint val="88500"/>
                    <a:shade val="93000"/>
                  </a:schemeClr>
                </a:gs>
                <a:gs pos="100000">
                  <a:schemeClr val="dk1">
                    <a:tint val="88500"/>
                    <a:shade val="94000"/>
                  </a:schemeClr>
                </a:gs>
              </a:gsLst>
              <a:lin ang="16200000" scaled="0"/>
              <a:tileRect/>
            </a:gradFill>
            <a:ln w="9525">
              <a:solidFill>
                <a:schemeClr val="dk1">
                  <a:tint val="88500"/>
                </a:schemeClr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>
              <a:gsLst>
                <a:gs pos="0">
                  <a:schemeClr val="dk1">
                    <a:tint val="88500"/>
                    <a:shade val="51000"/>
                  </a:schemeClr>
                </a:gs>
                <a:gs pos="80000">
                  <a:schemeClr val="dk1">
                    <a:tint val="88500"/>
                    <a:shade val="93000"/>
                  </a:schemeClr>
                </a:gs>
                <a:gs pos="100000">
                  <a:schemeClr val="dk1">
                    <a:tint val="88500"/>
                    <a:shade val="94000"/>
                  </a:schemeClr>
                </a:gs>
              </a:gsLst>
              <a:lin ang="16200000" scaled="0"/>
              <a:tileRect/>
            </a:gradFill>
            <a:ln>
              <a:noFill/>
            </a:ln>
            <a:effectLst/>
          </c:spPr>
          <c:invertIfNegative val="0"/>
          <c:cat>
            <c:strLit>
              <c:ptCount val="10"/>
              <c:pt idx="0">
                <c:v>Q1 Central</c:v>
              </c:pt>
              <c:pt idx="1">
                <c:v>Q1 East</c:v>
              </c:pt>
              <c:pt idx="2">
                <c:v>Q1 North</c:v>
              </c:pt>
              <c:pt idx="3">
                <c:v>Q1 South</c:v>
              </c:pt>
              <c:pt idx="4">
                <c:v>Q1 West</c:v>
              </c:pt>
              <c:pt idx="5">
                <c:v>Q2 Central</c:v>
              </c:pt>
              <c:pt idx="6">
                <c:v>Q2 East</c:v>
              </c:pt>
              <c:pt idx="7">
                <c:v>Q2 North</c:v>
              </c:pt>
              <c:pt idx="8">
                <c:v>Q2 South</c:v>
              </c:pt>
              <c:pt idx="9">
                <c:v>Q2 West</c:v>
              </c:pt>
            </c:strLit>
          </c:cat>
          <c:val>
            <c:numLit>
              <c:formatCode>General</c:formatCode>
              <c:ptCount val="10"/>
              <c:pt idx="0">
                <c:v>350500</c:v>
              </c:pt>
              <c:pt idx="1">
                <c:v>541000</c:v>
              </c:pt>
              <c:pt idx="2">
                <c:v>683500</c:v>
              </c:pt>
              <c:pt idx="3">
                <c:v>774500</c:v>
              </c:pt>
              <c:pt idx="4">
                <c:v>574000</c:v>
              </c:pt>
              <c:pt idx="5">
                <c:v>632000</c:v>
              </c:pt>
              <c:pt idx="6">
                <c:v>882000</c:v>
              </c:pt>
              <c:pt idx="7">
                <c:v>723000</c:v>
              </c:pt>
              <c:pt idx="8">
                <c:v>715500</c:v>
              </c:pt>
              <c:pt idx="9">
                <c:v>529000</c:v>
              </c:pt>
            </c:numLit>
          </c:val>
          <c:extLst>
            <c:ext xmlns:c16="http://schemas.microsoft.com/office/drawing/2014/chart" uri="{C3380CC4-5D6E-409C-BE32-E72D297353CC}">
              <c16:uniqueId val="{00000000-4E31-412B-8A61-217EF0CA34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79917312"/>
        <c:axId val="1779913472"/>
      </c:barChart>
      <c:catAx>
        <c:axId val="1779917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9913472"/>
        <c:crosses val="autoZero"/>
        <c:auto val="1"/>
        <c:lblAlgn val="ctr"/>
        <c:lblOffset val="100"/>
        <c:noMultiLvlLbl val="0"/>
      </c:catAx>
      <c:valAx>
        <c:axId val="1779913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9917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579120</xdr:colOff>
      <xdr:row>13</xdr:row>
      <xdr:rowOff>15240</xdr:rowOff>
    </xdr:from>
    <xdr:to>
      <xdr:col>17</xdr:col>
      <xdr:colOff>7620</xdr:colOff>
      <xdr:row>28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355C0B-E34A-4FDA-904D-F328F656D8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Day25_PivotTables_Practice(AutoRecovered)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hanu Singh" refreshedDate="46143.529048958335" createdVersion="8" refreshedVersion="8" minRefreshableVersion="3" recordCount="60" xr:uid="{1AE83D02-666E-4210-B916-D123EDBCF26E}">
  <cacheSource type="worksheet">
    <worksheetSource ref="A1:M61" sheet="Sales_Data" r:id="rId2"/>
  </cacheSource>
  <cacheFields count="13">
    <cacheField name="Date" numFmtId="0">
      <sharedItems/>
    </cacheField>
    <cacheField name="Month" numFmtId="0">
      <sharedItems count="5">
        <s v="January"/>
        <s v="February"/>
        <s v="March"/>
        <s v="April"/>
        <s v="May"/>
      </sharedItems>
    </cacheField>
    <cacheField name="Quarter" numFmtId="0">
      <sharedItems count="2">
        <s v="Q1"/>
        <s v="Q2"/>
      </sharedItems>
    </cacheField>
    <cacheField name="Region" numFmtId="0">
      <sharedItems count="5">
        <s v="North"/>
        <s v="South"/>
        <s v="West"/>
        <s v="East"/>
        <s v="Central"/>
      </sharedItems>
    </cacheField>
    <cacheField name="Salesperson" numFmtId="0">
      <sharedItems count="5">
        <s v="Rahul Sharma"/>
        <s v="Priya Nair"/>
        <s v="Arjun Mehta"/>
        <s v="Sneha Das"/>
        <s v="Vikram Singh"/>
      </sharedItems>
    </cacheField>
    <cacheField name="Product" numFmtId="0">
      <sharedItems count="5">
        <s v="Mutual Fund"/>
        <s v="Fixed Deposit"/>
        <s v="Term Insurance"/>
        <s v="Stock Advisory"/>
        <s v="Health Insurance"/>
      </sharedItems>
    </cacheField>
    <cacheField name="Category" numFmtId="0">
      <sharedItems count="3">
        <s v="Investment"/>
        <s v="Banking"/>
        <s v="Insurance"/>
      </sharedItems>
    </cacheField>
    <cacheField name="Units_Sold" numFmtId="0">
      <sharedItems containsSemiMixedTypes="0" containsString="0" containsNumber="1" containsInteger="1" minValue="4" maxValue="30"/>
    </cacheField>
    <cacheField name="Unit_Price" numFmtId="164">
      <sharedItems containsSemiMixedTypes="0" containsString="0" containsNumber="1" containsInteger="1" minValue="2500" maxValue="25000"/>
    </cacheField>
    <cacheField name="Revenue" numFmtId="164">
      <sharedItems containsSemiMixedTypes="0" containsString="0" containsNumber="1" containsInteger="1" minValue="37500" maxValue="350000" count="37">
        <n v="60000"/>
        <n v="200000"/>
        <n v="50000"/>
        <n v="150000"/>
        <n v="75000"/>
        <n v="45000"/>
        <n v="56000"/>
        <n v="48000"/>
        <n v="72000"/>
        <n v="55000"/>
        <n v="275000"/>
        <n v="70000"/>
        <n v="125000"/>
        <n v="62500"/>
        <n v="225000"/>
        <n v="42500"/>
        <n v="64000"/>
        <n v="325000"/>
        <n v="175000"/>
        <n v="47500"/>
        <n v="96000"/>
        <n v="80000"/>
        <n v="100000"/>
        <n v="350000"/>
        <n v="57500"/>
        <n v="108000"/>
        <n v="85000"/>
        <n v="84000"/>
        <n v="110000"/>
        <n v="88000"/>
        <n v="37500"/>
        <n v="250000"/>
        <n v="65000"/>
        <n v="52500"/>
        <n v="90000"/>
        <n v="300000"/>
        <n v="95000"/>
      </sharedItems>
    </cacheField>
    <cacheField name="Cost" numFmtId="164">
      <sharedItems containsSemiMixedTypes="0" containsString="0" containsNumber="1" containsInteger="1" minValue="11250" maxValue="70000"/>
    </cacheField>
    <cacheField name="Profit" numFmtId="164">
      <sharedItems containsSemiMixedTypes="0" containsString="0" containsNumber="1" containsInteger="1" minValue="19200" maxValue="280000"/>
    </cacheField>
    <cacheField name="Profit_Margin%" numFmtId="165">
      <sharedItems containsSemiMixedTypes="0" containsString="0" containsNumber="1" containsInteger="1" minValue="40" maxValue="80"/>
    </cacheField>
  </cacheFields>
  <extLst>
    <ext xmlns:x14="http://schemas.microsoft.com/office/spreadsheetml/2009/9/main" uri="{725AE2AE-9491-48be-B2B4-4EB974FC3084}">
      <x14:pivotCacheDefinition pivotCacheId="134186478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s v="01-Jan-2026"/>
    <x v="0"/>
    <x v="0"/>
    <x v="0"/>
    <x v="0"/>
    <x v="0"/>
    <x v="0"/>
    <n v="12"/>
    <n v="5000"/>
    <x v="0"/>
    <n v="24000"/>
    <n v="36000"/>
    <n v="60"/>
  </r>
  <r>
    <s v="03-Jan-2026"/>
    <x v="0"/>
    <x v="0"/>
    <x v="1"/>
    <x v="1"/>
    <x v="1"/>
    <x v="1"/>
    <n v="8"/>
    <n v="25000"/>
    <x v="1"/>
    <n v="40000"/>
    <n v="160000"/>
    <n v="80"/>
  </r>
  <r>
    <s v="05-Jan-2026"/>
    <x v="0"/>
    <x v="0"/>
    <x v="2"/>
    <x v="2"/>
    <x v="2"/>
    <x v="2"/>
    <n v="5"/>
    <n v="12000"/>
    <x v="0"/>
    <n v="33000"/>
    <n v="27000"/>
    <n v="45"/>
  </r>
  <r>
    <s v="07-Jan-2026"/>
    <x v="0"/>
    <x v="0"/>
    <x v="3"/>
    <x v="3"/>
    <x v="3"/>
    <x v="0"/>
    <n v="20"/>
    <n v="2500"/>
    <x v="2"/>
    <n v="15000"/>
    <n v="35000"/>
    <n v="70"/>
  </r>
  <r>
    <s v="10-Jan-2026"/>
    <x v="0"/>
    <x v="0"/>
    <x v="0"/>
    <x v="0"/>
    <x v="1"/>
    <x v="1"/>
    <n v="6"/>
    <n v="25000"/>
    <x v="3"/>
    <n v="30000"/>
    <n v="120000"/>
    <n v="80"/>
  </r>
  <r>
    <s v="12-Jan-2026"/>
    <x v="0"/>
    <x v="0"/>
    <x v="1"/>
    <x v="1"/>
    <x v="0"/>
    <x v="0"/>
    <n v="15"/>
    <n v="5000"/>
    <x v="4"/>
    <n v="30000"/>
    <n v="45000"/>
    <n v="60"/>
  </r>
  <r>
    <s v="14-Jan-2026"/>
    <x v="0"/>
    <x v="0"/>
    <x v="2"/>
    <x v="2"/>
    <x v="3"/>
    <x v="0"/>
    <n v="18"/>
    <n v="2500"/>
    <x v="5"/>
    <n v="13500"/>
    <n v="31500"/>
    <n v="70"/>
  </r>
  <r>
    <s v="16-Jan-2026"/>
    <x v="0"/>
    <x v="0"/>
    <x v="3"/>
    <x v="3"/>
    <x v="4"/>
    <x v="2"/>
    <n v="7"/>
    <n v="8000"/>
    <x v="6"/>
    <n v="33600"/>
    <n v="22400"/>
    <n v="40"/>
  </r>
  <r>
    <s v="18-Jan-2026"/>
    <x v="0"/>
    <x v="0"/>
    <x v="4"/>
    <x v="4"/>
    <x v="2"/>
    <x v="2"/>
    <n v="4"/>
    <n v="12000"/>
    <x v="7"/>
    <n v="26400"/>
    <n v="21600"/>
    <n v="45"/>
  </r>
  <r>
    <s v="20-Jan-2026"/>
    <x v="0"/>
    <x v="0"/>
    <x v="0"/>
    <x v="0"/>
    <x v="4"/>
    <x v="2"/>
    <n v="9"/>
    <n v="8000"/>
    <x v="8"/>
    <n v="43200"/>
    <n v="28800"/>
    <n v="40"/>
  </r>
  <r>
    <s v="22-Jan-2026"/>
    <x v="0"/>
    <x v="0"/>
    <x v="1"/>
    <x v="1"/>
    <x v="3"/>
    <x v="0"/>
    <n v="22"/>
    <n v="2500"/>
    <x v="9"/>
    <n v="16500"/>
    <n v="38500"/>
    <n v="70"/>
  </r>
  <r>
    <s v="24-Jan-2026"/>
    <x v="0"/>
    <x v="0"/>
    <x v="2"/>
    <x v="2"/>
    <x v="1"/>
    <x v="1"/>
    <n v="11"/>
    <n v="25000"/>
    <x v="10"/>
    <n v="55000"/>
    <n v="220000"/>
    <n v="80"/>
  </r>
  <r>
    <s v="26-Jan-2026"/>
    <x v="0"/>
    <x v="0"/>
    <x v="3"/>
    <x v="3"/>
    <x v="0"/>
    <x v="0"/>
    <n v="14"/>
    <n v="5000"/>
    <x v="11"/>
    <n v="28000"/>
    <n v="42000"/>
    <n v="60"/>
  </r>
  <r>
    <s v="28-Jan-2026"/>
    <x v="0"/>
    <x v="0"/>
    <x v="4"/>
    <x v="4"/>
    <x v="1"/>
    <x v="1"/>
    <n v="5"/>
    <n v="25000"/>
    <x v="12"/>
    <n v="25000"/>
    <n v="100000"/>
    <n v="80"/>
  </r>
  <r>
    <s v="30-Jan-2026"/>
    <x v="0"/>
    <x v="0"/>
    <x v="0"/>
    <x v="0"/>
    <x v="3"/>
    <x v="0"/>
    <n v="25"/>
    <n v="2500"/>
    <x v="13"/>
    <n v="18750"/>
    <n v="43750"/>
    <n v="70"/>
  </r>
  <r>
    <s v="02-Feb-2026"/>
    <x v="1"/>
    <x v="0"/>
    <x v="1"/>
    <x v="1"/>
    <x v="2"/>
    <x v="2"/>
    <n v="6"/>
    <n v="12000"/>
    <x v="8"/>
    <n v="39600"/>
    <n v="32400"/>
    <n v="45"/>
  </r>
  <r>
    <s v="04-Feb-2026"/>
    <x v="1"/>
    <x v="0"/>
    <x v="2"/>
    <x v="2"/>
    <x v="0"/>
    <x v="0"/>
    <n v="10"/>
    <n v="5000"/>
    <x v="2"/>
    <n v="20000"/>
    <n v="30000"/>
    <n v="60"/>
  </r>
  <r>
    <s v="06-Feb-2026"/>
    <x v="1"/>
    <x v="0"/>
    <x v="3"/>
    <x v="3"/>
    <x v="1"/>
    <x v="1"/>
    <n v="9"/>
    <n v="25000"/>
    <x v="14"/>
    <n v="45000"/>
    <n v="180000"/>
    <n v="80"/>
  </r>
  <r>
    <s v="08-Feb-2026"/>
    <x v="1"/>
    <x v="0"/>
    <x v="4"/>
    <x v="4"/>
    <x v="3"/>
    <x v="0"/>
    <n v="17"/>
    <n v="2500"/>
    <x v="15"/>
    <n v="12750"/>
    <n v="29750"/>
    <n v="70"/>
  </r>
  <r>
    <s v="10-Feb-2026"/>
    <x v="1"/>
    <x v="0"/>
    <x v="0"/>
    <x v="0"/>
    <x v="4"/>
    <x v="2"/>
    <n v="8"/>
    <n v="8000"/>
    <x v="16"/>
    <n v="38400"/>
    <n v="25600"/>
    <n v="40"/>
  </r>
  <r>
    <s v="12-Feb-2026"/>
    <x v="1"/>
    <x v="0"/>
    <x v="1"/>
    <x v="1"/>
    <x v="1"/>
    <x v="1"/>
    <n v="13"/>
    <n v="25000"/>
    <x v="17"/>
    <n v="65000"/>
    <n v="260000"/>
    <n v="80"/>
  </r>
  <r>
    <s v="14-Feb-2026"/>
    <x v="1"/>
    <x v="0"/>
    <x v="2"/>
    <x v="2"/>
    <x v="4"/>
    <x v="2"/>
    <n v="6"/>
    <n v="8000"/>
    <x v="7"/>
    <n v="28800"/>
    <n v="19200"/>
    <n v="40"/>
  </r>
  <r>
    <s v="16-Feb-2026"/>
    <x v="1"/>
    <x v="0"/>
    <x v="3"/>
    <x v="3"/>
    <x v="2"/>
    <x v="2"/>
    <n v="5"/>
    <n v="12000"/>
    <x v="0"/>
    <n v="33000"/>
    <n v="27000"/>
    <n v="45"/>
  </r>
  <r>
    <s v="18-Feb-2026"/>
    <x v="1"/>
    <x v="0"/>
    <x v="4"/>
    <x v="4"/>
    <x v="0"/>
    <x v="0"/>
    <n v="11"/>
    <n v="5000"/>
    <x v="9"/>
    <n v="22000"/>
    <n v="33000"/>
    <n v="60"/>
  </r>
  <r>
    <s v="20-Feb-2026"/>
    <x v="1"/>
    <x v="0"/>
    <x v="0"/>
    <x v="0"/>
    <x v="1"/>
    <x v="1"/>
    <n v="7"/>
    <n v="25000"/>
    <x v="18"/>
    <n v="35000"/>
    <n v="140000"/>
    <n v="80"/>
  </r>
  <r>
    <s v="02-Mar-2026"/>
    <x v="2"/>
    <x v="0"/>
    <x v="1"/>
    <x v="1"/>
    <x v="3"/>
    <x v="0"/>
    <n v="19"/>
    <n v="2500"/>
    <x v="19"/>
    <n v="14250"/>
    <n v="33250"/>
    <n v="70"/>
  </r>
  <r>
    <s v="04-Mar-2026"/>
    <x v="2"/>
    <x v="0"/>
    <x v="2"/>
    <x v="2"/>
    <x v="2"/>
    <x v="2"/>
    <n v="8"/>
    <n v="12000"/>
    <x v="20"/>
    <n v="52800"/>
    <n v="43200"/>
    <n v="45"/>
  </r>
  <r>
    <s v="06-Mar-2026"/>
    <x v="2"/>
    <x v="0"/>
    <x v="3"/>
    <x v="3"/>
    <x v="0"/>
    <x v="0"/>
    <n v="16"/>
    <n v="5000"/>
    <x v="21"/>
    <n v="32000"/>
    <n v="48000"/>
    <n v="60"/>
  </r>
  <r>
    <s v="08-Mar-2026"/>
    <x v="2"/>
    <x v="0"/>
    <x v="4"/>
    <x v="4"/>
    <x v="4"/>
    <x v="2"/>
    <n v="10"/>
    <n v="8000"/>
    <x v="21"/>
    <n v="48000"/>
    <n v="32000"/>
    <n v="40"/>
  </r>
  <r>
    <s v="10-Mar-2026"/>
    <x v="2"/>
    <x v="0"/>
    <x v="0"/>
    <x v="0"/>
    <x v="0"/>
    <x v="0"/>
    <n v="20"/>
    <n v="5000"/>
    <x v="22"/>
    <n v="40000"/>
    <n v="60000"/>
    <n v="60"/>
  </r>
  <r>
    <s v="01-Apr-2026"/>
    <x v="3"/>
    <x v="1"/>
    <x v="1"/>
    <x v="1"/>
    <x v="1"/>
    <x v="1"/>
    <n v="14"/>
    <n v="25000"/>
    <x v="23"/>
    <n v="70000"/>
    <n v="280000"/>
    <n v="80"/>
  </r>
  <r>
    <s v="03-Apr-2026"/>
    <x v="3"/>
    <x v="1"/>
    <x v="2"/>
    <x v="2"/>
    <x v="3"/>
    <x v="0"/>
    <n v="23"/>
    <n v="2500"/>
    <x v="24"/>
    <n v="17250"/>
    <n v="40250"/>
    <n v="70"/>
  </r>
  <r>
    <s v="05-Apr-2026"/>
    <x v="3"/>
    <x v="1"/>
    <x v="3"/>
    <x v="3"/>
    <x v="2"/>
    <x v="2"/>
    <n v="9"/>
    <n v="12000"/>
    <x v="25"/>
    <n v="59400"/>
    <n v="48600"/>
    <n v="45"/>
  </r>
  <r>
    <s v="07-Apr-2026"/>
    <x v="3"/>
    <x v="1"/>
    <x v="4"/>
    <x v="4"/>
    <x v="1"/>
    <x v="1"/>
    <n v="6"/>
    <n v="25000"/>
    <x v="3"/>
    <n v="30000"/>
    <n v="120000"/>
    <n v="80"/>
  </r>
  <r>
    <s v="09-Apr-2026"/>
    <x v="3"/>
    <x v="1"/>
    <x v="0"/>
    <x v="0"/>
    <x v="4"/>
    <x v="2"/>
    <n v="12"/>
    <n v="8000"/>
    <x v="20"/>
    <n v="57600"/>
    <n v="38400"/>
    <n v="40"/>
  </r>
  <r>
    <s v="11-Apr-2026"/>
    <x v="3"/>
    <x v="1"/>
    <x v="1"/>
    <x v="1"/>
    <x v="0"/>
    <x v="0"/>
    <n v="17"/>
    <n v="5000"/>
    <x v="26"/>
    <n v="34000"/>
    <n v="51000"/>
    <n v="60"/>
  </r>
  <r>
    <s v="13-Apr-2026"/>
    <x v="3"/>
    <x v="1"/>
    <x v="2"/>
    <x v="2"/>
    <x v="1"/>
    <x v="1"/>
    <n v="8"/>
    <n v="25000"/>
    <x v="1"/>
    <n v="40000"/>
    <n v="160000"/>
    <n v="80"/>
  </r>
  <r>
    <s v="15-Apr-2026"/>
    <x v="3"/>
    <x v="1"/>
    <x v="3"/>
    <x v="3"/>
    <x v="3"/>
    <x v="0"/>
    <n v="28"/>
    <n v="2500"/>
    <x v="11"/>
    <n v="21000"/>
    <n v="49000"/>
    <n v="70"/>
  </r>
  <r>
    <s v="17-Apr-2026"/>
    <x v="3"/>
    <x v="1"/>
    <x v="4"/>
    <x v="4"/>
    <x v="2"/>
    <x v="2"/>
    <n v="7"/>
    <n v="12000"/>
    <x v="27"/>
    <n v="46200"/>
    <n v="37800"/>
    <n v="45"/>
  </r>
  <r>
    <s v="19-Apr-2026"/>
    <x v="3"/>
    <x v="1"/>
    <x v="0"/>
    <x v="0"/>
    <x v="0"/>
    <x v="0"/>
    <n v="22"/>
    <n v="5000"/>
    <x v="28"/>
    <n v="44000"/>
    <n v="66000"/>
    <n v="60"/>
  </r>
  <r>
    <s v="21-Apr-2026"/>
    <x v="3"/>
    <x v="1"/>
    <x v="1"/>
    <x v="1"/>
    <x v="4"/>
    <x v="2"/>
    <n v="11"/>
    <n v="8000"/>
    <x v="29"/>
    <n v="52800"/>
    <n v="35200"/>
    <n v="40"/>
  </r>
  <r>
    <s v="23-Apr-2026"/>
    <x v="3"/>
    <x v="1"/>
    <x v="2"/>
    <x v="2"/>
    <x v="3"/>
    <x v="0"/>
    <n v="15"/>
    <n v="2500"/>
    <x v="30"/>
    <n v="11250"/>
    <n v="26250"/>
    <n v="70"/>
  </r>
  <r>
    <s v="25-Apr-2026"/>
    <x v="3"/>
    <x v="1"/>
    <x v="3"/>
    <x v="3"/>
    <x v="1"/>
    <x v="1"/>
    <n v="10"/>
    <n v="25000"/>
    <x v="31"/>
    <n v="50000"/>
    <n v="200000"/>
    <n v="80"/>
  </r>
  <r>
    <s v="27-Apr-2026"/>
    <x v="3"/>
    <x v="1"/>
    <x v="4"/>
    <x v="4"/>
    <x v="0"/>
    <x v="0"/>
    <n v="13"/>
    <n v="5000"/>
    <x v="32"/>
    <n v="26000"/>
    <n v="39000"/>
    <n v="60"/>
  </r>
  <r>
    <s v="29-Apr-2026"/>
    <x v="3"/>
    <x v="1"/>
    <x v="0"/>
    <x v="0"/>
    <x v="2"/>
    <x v="2"/>
    <n v="6"/>
    <n v="12000"/>
    <x v="8"/>
    <n v="39600"/>
    <n v="32400"/>
    <n v="45"/>
  </r>
  <r>
    <s v="01-May-2026"/>
    <x v="4"/>
    <x v="1"/>
    <x v="1"/>
    <x v="1"/>
    <x v="3"/>
    <x v="0"/>
    <n v="21"/>
    <n v="2500"/>
    <x v="33"/>
    <n v="15750"/>
    <n v="36750"/>
    <n v="70"/>
  </r>
  <r>
    <s v="03-May-2026"/>
    <x v="4"/>
    <x v="1"/>
    <x v="2"/>
    <x v="2"/>
    <x v="0"/>
    <x v="0"/>
    <n v="14"/>
    <n v="5000"/>
    <x v="11"/>
    <n v="28000"/>
    <n v="42000"/>
    <n v="60"/>
  </r>
  <r>
    <s v="05-May-2026"/>
    <x v="4"/>
    <x v="1"/>
    <x v="3"/>
    <x v="3"/>
    <x v="4"/>
    <x v="2"/>
    <n v="8"/>
    <n v="8000"/>
    <x v="16"/>
    <n v="38400"/>
    <n v="25600"/>
    <n v="40"/>
  </r>
  <r>
    <s v="07-May-2026"/>
    <x v="4"/>
    <x v="1"/>
    <x v="4"/>
    <x v="4"/>
    <x v="1"/>
    <x v="1"/>
    <n v="9"/>
    <n v="25000"/>
    <x v="14"/>
    <n v="45000"/>
    <n v="180000"/>
    <n v="80"/>
  </r>
  <r>
    <s v="09-May-2026"/>
    <x v="4"/>
    <x v="1"/>
    <x v="0"/>
    <x v="0"/>
    <x v="3"/>
    <x v="0"/>
    <n v="30"/>
    <n v="2500"/>
    <x v="4"/>
    <n v="22500"/>
    <n v="52500"/>
    <n v="70"/>
  </r>
  <r>
    <s v="11-May-2026"/>
    <x v="4"/>
    <x v="1"/>
    <x v="1"/>
    <x v="1"/>
    <x v="2"/>
    <x v="2"/>
    <n v="5"/>
    <n v="12000"/>
    <x v="0"/>
    <n v="33000"/>
    <n v="27000"/>
    <n v="45"/>
  </r>
  <r>
    <s v="13-May-2026"/>
    <x v="4"/>
    <x v="1"/>
    <x v="2"/>
    <x v="2"/>
    <x v="4"/>
    <x v="2"/>
    <n v="7"/>
    <n v="8000"/>
    <x v="6"/>
    <n v="33600"/>
    <n v="22400"/>
    <n v="40"/>
  </r>
  <r>
    <s v="15-May-2026"/>
    <x v="4"/>
    <x v="1"/>
    <x v="3"/>
    <x v="3"/>
    <x v="0"/>
    <x v="0"/>
    <n v="18"/>
    <n v="5000"/>
    <x v="34"/>
    <n v="36000"/>
    <n v="54000"/>
    <n v="60"/>
  </r>
  <r>
    <s v="17-May-2026"/>
    <x v="4"/>
    <x v="1"/>
    <x v="4"/>
    <x v="4"/>
    <x v="3"/>
    <x v="0"/>
    <n v="24"/>
    <n v="2500"/>
    <x v="0"/>
    <n v="18000"/>
    <n v="42000"/>
    <n v="70"/>
  </r>
  <r>
    <s v="19-May-2026"/>
    <x v="4"/>
    <x v="1"/>
    <x v="0"/>
    <x v="0"/>
    <x v="1"/>
    <x v="1"/>
    <n v="11"/>
    <n v="25000"/>
    <x v="10"/>
    <n v="55000"/>
    <n v="220000"/>
    <n v="80"/>
  </r>
  <r>
    <s v="21-May-2026"/>
    <x v="4"/>
    <x v="1"/>
    <x v="1"/>
    <x v="1"/>
    <x v="0"/>
    <x v="0"/>
    <n v="16"/>
    <n v="5000"/>
    <x v="21"/>
    <n v="32000"/>
    <n v="48000"/>
    <n v="60"/>
  </r>
  <r>
    <s v="23-May-2026"/>
    <x v="4"/>
    <x v="1"/>
    <x v="2"/>
    <x v="2"/>
    <x v="2"/>
    <x v="2"/>
    <n v="9"/>
    <n v="12000"/>
    <x v="25"/>
    <n v="59400"/>
    <n v="48600"/>
    <n v="45"/>
  </r>
  <r>
    <s v="25-May-2026"/>
    <x v="4"/>
    <x v="1"/>
    <x v="3"/>
    <x v="3"/>
    <x v="1"/>
    <x v="1"/>
    <n v="12"/>
    <n v="25000"/>
    <x v="35"/>
    <n v="60000"/>
    <n v="240000"/>
    <n v="80"/>
  </r>
  <r>
    <s v="27-May-2026"/>
    <x v="4"/>
    <x v="1"/>
    <x v="4"/>
    <x v="4"/>
    <x v="4"/>
    <x v="2"/>
    <n v="6"/>
    <n v="8000"/>
    <x v="7"/>
    <n v="28800"/>
    <n v="19200"/>
    <n v="40"/>
  </r>
  <r>
    <s v="29-May-2026"/>
    <x v="4"/>
    <x v="1"/>
    <x v="0"/>
    <x v="0"/>
    <x v="0"/>
    <x v="0"/>
    <n v="19"/>
    <n v="5000"/>
    <x v="36"/>
    <n v="38000"/>
    <n v="57000"/>
    <n v="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C2CE01-B8A1-4B07-A306-5DE222EEBE21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5:J11" firstHeaderRow="1" firstDataRow="1" firstDataCol="1"/>
  <pivotFields count="13">
    <pivotField showAll="0"/>
    <pivotField showAll="0"/>
    <pivotField showAll="0"/>
    <pivotField showAll="0"/>
    <pivotField axis="axisRow" showAll="0">
      <items count="6">
        <item x="2"/>
        <item x="1"/>
        <item x="0"/>
        <item x="3"/>
        <item x="4"/>
        <item t="default"/>
      </items>
    </pivotField>
    <pivotField showAll="0"/>
    <pivotField showAll="0"/>
    <pivotField showAll="0"/>
    <pivotField numFmtId="164" showAll="0"/>
    <pivotField dataField="1" numFmtId="164" showAll="0"/>
    <pivotField numFmtId="164" showAll="0"/>
    <pivotField numFmtId="164" showAll="0"/>
    <pivotField numFmtId="165"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9" baseField="0" baseItem="0" numFmtId="164"/>
  </dataFields>
  <formats count="2">
    <format dxfId="23">
      <pivotArea collapsedLevelsAreSubtotals="1" fieldPosition="0">
        <references count="1">
          <reference field="4" count="1">
            <x v="1"/>
          </reference>
        </references>
      </pivotArea>
    </format>
    <format dxfId="24">
      <pivotArea dataOnly="0" labelOnly="1" fieldPosition="0">
        <references count="1">
          <reference field="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8D0360-DCE6-4FD1-843F-4CCE1D1B57C9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4:G18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numFmtId="164" showAll="0"/>
    <pivotField dataField="1" numFmtId="164" showAll="0"/>
    <pivotField numFmtId="164" showAll="0"/>
    <pivotField numFmtId="164" showAll="0"/>
    <pivotField numFmtId="165"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venue" fld="9" baseField="0" baseItem="0" numFmtId="164"/>
  </dataFields>
  <formats count="2">
    <format dxfId="25">
      <pivotArea collapsedLevelsAreSubtotals="1" fieldPosition="0">
        <references count="1">
          <reference field="6" count="1">
            <x v="0"/>
          </reference>
        </references>
      </pivotArea>
    </format>
    <format dxfId="26">
      <pivotArea dataOnly="0" labelOnly="1" fieldPosition="0">
        <references count="1">
          <reference field="6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8EEC44-AB88-4D3E-8FE1-96FC5B2DED36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14:J20" firstHeaderRow="1" firstDataRow="1" firstDataCol="1"/>
  <pivotFields count="13"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dataField="1" showAll="0"/>
    <pivotField numFmtId="164" showAll="0"/>
    <pivotField numFmtId="164" showAll="0"/>
    <pivotField numFmtId="164" showAll="0"/>
    <pivotField numFmtId="164" showAll="0"/>
    <pivotField numFmtId="165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Units_Sold" fld="7" baseField="0" baseItem="0"/>
  </dataFields>
  <formats count="2">
    <format dxfId="27">
      <pivotArea collapsedLevelsAreSubtotals="1" fieldPosition="0">
        <references count="1">
          <reference field="1" count="1">
            <x v="4"/>
          </reference>
        </references>
      </pivotArea>
    </format>
    <format dxfId="28">
      <pivotArea dataOnly="0" labelOnly="1" fieldPosition="0">
        <references count="1">
          <reference field="1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0F76A1-45A6-48A4-A4D2-F2600765968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5:M11" firstHeaderRow="1" firstDataRow="1" firstDataCol="1"/>
  <pivotFields count="13">
    <pivotField showAll="0"/>
    <pivotField showAll="0"/>
    <pivotField showAll="0"/>
    <pivotField showAll="0"/>
    <pivotField showAll="0"/>
    <pivotField axis="axisRow" showAll="0">
      <items count="6">
        <item x="1"/>
        <item x="4"/>
        <item x="0"/>
        <item x="3"/>
        <item x="2"/>
        <item t="default"/>
      </items>
    </pivotField>
    <pivotField showAll="0"/>
    <pivotField showAll="0"/>
    <pivotField numFmtId="164" showAll="0"/>
    <pivotField numFmtId="164" showAll="0"/>
    <pivotField numFmtId="164" showAll="0"/>
    <pivotField numFmtId="164" showAll="0"/>
    <pivotField dataField="1" numFmtId="165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rofit_Margin%" fld="12" baseField="0" baseItem="0" numFmtId="165"/>
  </dataFields>
  <formats count="3">
    <format dxfId="29">
      <pivotArea field="5" type="button" dataOnly="0" labelOnly="1" outline="0" axis="axisRow" fieldPosition="0"/>
    </format>
    <format dxfId="30">
      <pivotArea collapsedLevelsAreSubtotals="1" fieldPosition="0">
        <references count="1">
          <reference field="5" count="1">
            <x v="0"/>
          </reference>
        </references>
      </pivotArea>
    </format>
    <format dxfId="31">
      <pivotArea dataOnly="0" labelOnly="1" fieldPosition="0">
        <references count="1">
          <reference field="5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E4963A-7637-413B-9374-1C7B27ED6E2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5:G11" firstHeaderRow="1" firstDataRow="1" firstDataCol="1"/>
  <pivotFields count="13">
    <pivotField showAll="0"/>
    <pivotField showAll="0"/>
    <pivotField showAll="0"/>
    <pivotField axis="axisRow" showAll="0" sortType="ascending">
      <items count="6">
        <item x="4"/>
        <item x="3"/>
        <item x="0"/>
        <item x="1"/>
        <item x="2"/>
        <item t="default"/>
      </items>
    </pivotField>
    <pivotField showAll="0"/>
    <pivotField showAll="0"/>
    <pivotField showAll="0"/>
    <pivotField showAll="0"/>
    <pivotField numFmtId="164" showAll="0"/>
    <pivotField dataField="1" numFmtId="164" showAll="0">
      <items count="38">
        <item x="30"/>
        <item x="15"/>
        <item x="5"/>
        <item x="19"/>
        <item x="7"/>
        <item x="2"/>
        <item x="33"/>
        <item x="9"/>
        <item x="6"/>
        <item x="24"/>
        <item x="0"/>
        <item x="13"/>
        <item x="16"/>
        <item x="32"/>
        <item x="11"/>
        <item x="8"/>
        <item x="4"/>
        <item x="21"/>
        <item x="27"/>
        <item x="26"/>
        <item x="29"/>
        <item x="34"/>
        <item x="36"/>
        <item x="20"/>
        <item x="22"/>
        <item x="25"/>
        <item x="28"/>
        <item x="12"/>
        <item x="3"/>
        <item x="18"/>
        <item x="1"/>
        <item x="14"/>
        <item x="31"/>
        <item x="10"/>
        <item x="35"/>
        <item x="17"/>
        <item x="23"/>
        <item t="default"/>
      </items>
    </pivotField>
    <pivotField numFmtId="164" showAll="0"/>
    <pivotField numFmtId="164" showAll="0"/>
    <pivotField numFmtId="165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9" baseField="0" baseItem="0" numFmtId="164"/>
  </dataFields>
  <formats count="4">
    <format dxfId="32">
      <pivotArea collapsedLevelsAreSubtotals="1" fieldPosition="0">
        <references count="1">
          <reference field="3" count="1">
            <x v="3"/>
          </reference>
        </references>
      </pivotArea>
    </format>
    <format dxfId="33">
      <pivotArea dataOnly="0" labelOnly="1" fieldPosition="0">
        <references count="1">
          <reference field="3" count="1">
            <x v="3"/>
          </reference>
        </references>
      </pivotArea>
    </format>
    <format dxfId="34">
      <pivotArea collapsedLevelsAreSubtotals="1" fieldPosition="0">
        <references count="1">
          <reference field="3" count="1">
            <x v="3"/>
          </reference>
        </references>
      </pivotArea>
    </format>
    <format dxfId="35">
      <pivotArea dataOnly="0" labelOnly="1" fieldPosition="0">
        <references count="1">
          <reference field="3" count="1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DB7660-F263-4300-B25A-D5AB487D8827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:B17" firstHeaderRow="1" firstDataRow="1" firstDataCol="1"/>
  <pivotFields count="13">
    <pivotField showAll="0"/>
    <pivotField showAll="0"/>
    <pivotField showAll="0"/>
    <pivotField showAll="0"/>
    <pivotField showAll="0"/>
    <pivotField axis="axisRow" showAll="0">
      <items count="6">
        <item x="1"/>
        <item x="4"/>
        <item x="0"/>
        <item x="3"/>
        <item x="2"/>
        <item t="default"/>
      </items>
    </pivotField>
    <pivotField showAll="0">
      <items count="4">
        <item h="1" x="1"/>
        <item x="2"/>
        <item h="1" x="0"/>
        <item t="default"/>
      </items>
    </pivotField>
    <pivotField showAll="0"/>
    <pivotField numFmtId="164" showAll="0"/>
    <pivotField numFmtId="164" showAll="0"/>
    <pivotField numFmtId="164" showAll="0"/>
    <pivotField numFmtId="164" showAll="0"/>
    <pivotField dataField="1" numFmtId="165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Profit_Margin%" fld="12" subtotal="average" baseField="5" baseItem="0" numFmtId="165"/>
  </dataFields>
  <formats count="2">
    <format dxfId="4">
      <pivotArea collapsedLevelsAreSubtotals="1" fieldPosition="0">
        <references count="1">
          <reference field="5" count="1">
            <x v="0"/>
          </reference>
        </references>
      </pivotArea>
    </format>
    <format dxfId="5">
      <pivotArea dataOnly="0" labelOnly="1" fieldPosition="0">
        <references count="1">
          <reference field="5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0B65B4-847A-462B-872D-B1B79F28B374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B8" firstHeaderRow="1" firstDataRow="1" firstDataCol="1"/>
  <pivotFields count="13">
    <pivotField showAll="0"/>
    <pivotField showAll="0"/>
    <pivotField showAll="0"/>
    <pivotField axis="axisRow" showAll="0" sortType="descending">
      <items count="6">
        <item x="2"/>
        <item x="1"/>
        <item x="0"/>
        <item x="3"/>
        <item x="4"/>
        <item t="default"/>
      </items>
    </pivotField>
    <pivotField showAll="0"/>
    <pivotField showAll="0"/>
    <pivotField showAll="0">
      <items count="4">
        <item h="1" x="1"/>
        <item h="1" x="2"/>
        <item x="0"/>
        <item t="default"/>
      </items>
    </pivotField>
    <pivotField showAll="0"/>
    <pivotField numFmtId="164" showAll="0"/>
    <pivotField dataField="1" numFmtId="164" showAll="0"/>
    <pivotField numFmtId="164" showAll="0"/>
    <pivotField numFmtId="164" showAll="0"/>
    <pivotField numFmtId="165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9" baseField="0" baseItem="0" numFmtId="164"/>
  </dataFields>
  <formats count="2">
    <format dxfId="6">
      <pivotArea collapsedLevelsAreSubtotals="1" fieldPosition="0">
        <references count="1">
          <reference field="3" count="1">
            <x v="1"/>
          </reference>
        </references>
      </pivotArea>
    </format>
    <format dxfId="7">
      <pivotArea dataOnly="0" labelOnly="1" fieldPosition="0">
        <references count="1">
          <reference field="3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ADBFD1-A9B1-4BA5-BDFA-C4F1F9330917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2:G9" firstHeaderRow="1" firstDataRow="2" firstDataCol="1"/>
  <pivotFields count="13">
    <pivotField showAll="0"/>
    <pivotField showAll="0"/>
    <pivotField axis="axisCol" showAll="0">
      <items count="3">
        <item x="0"/>
        <item x="1"/>
        <item t="default"/>
      </items>
    </pivotField>
    <pivotField axis="axisRow" showAll="0">
      <items count="6">
        <item x="4"/>
        <item x="3"/>
        <item x="0"/>
        <item x="1"/>
        <item x="2"/>
        <item t="default"/>
      </items>
    </pivotField>
    <pivotField showAll="0"/>
    <pivotField showAll="0"/>
    <pivotField showAll="0"/>
    <pivotField showAll="0"/>
    <pivotField numFmtId="164" showAll="0"/>
    <pivotField dataField="1" numFmtId="164" showAll="0"/>
    <pivotField numFmtId="164" showAll="0"/>
    <pivotField numFmtId="164" showAll="0"/>
    <pivotField numFmtId="165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Revenue" fld="9" showDataAs="percentOfTotal" baseField="3" baseItem="1" numFmtId="10"/>
  </dataFields>
  <formats count="3">
    <format dxfId="8">
      <pivotArea collapsedLevelsAreSubtotals="1" fieldPosition="0">
        <references count="1">
          <reference field="3" count="1">
            <x v="3"/>
          </reference>
        </references>
      </pivotArea>
    </format>
    <format dxfId="9">
      <pivotArea dataOnly="0" labelOnly="1" fieldPosition="0">
        <references count="1">
          <reference field="3" count="1">
            <x v="3"/>
          </reference>
        </references>
      </pivotArea>
    </format>
    <format dxfId="10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4" customWidth="1"/>
    <col min="2" max="2" width="12" customWidth="1"/>
    <col min="3" max="3" width="8" customWidth="1"/>
    <col min="4" max="4" width="10" customWidth="1"/>
    <col min="5" max="5" width="16" customWidth="1"/>
    <col min="6" max="6" width="18" customWidth="1"/>
    <col min="7" max="7" width="12" customWidth="1"/>
    <col min="8" max="8" width="11" customWidth="1"/>
    <col min="9" max="9" width="12" customWidth="1"/>
    <col min="10" max="12" width="14" customWidth="1"/>
    <col min="13" max="13" width="1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>
        <v>12</v>
      </c>
      <c r="I2" s="3">
        <v>5000</v>
      </c>
      <c r="J2" s="3">
        <v>60000</v>
      </c>
      <c r="K2" s="3">
        <v>24000</v>
      </c>
      <c r="L2" s="3">
        <v>36000</v>
      </c>
      <c r="M2" s="4">
        <v>60</v>
      </c>
    </row>
    <row r="3" spans="1:13" x14ac:dyDescent="0.3">
      <c r="A3" s="5" t="s">
        <v>20</v>
      </c>
      <c r="B3" s="5" t="s">
        <v>14</v>
      </c>
      <c r="C3" s="5" t="s">
        <v>15</v>
      </c>
      <c r="D3" s="5" t="s">
        <v>21</v>
      </c>
      <c r="E3" s="5" t="s">
        <v>22</v>
      </c>
      <c r="F3" s="5" t="s">
        <v>23</v>
      </c>
      <c r="G3" s="5" t="s">
        <v>24</v>
      </c>
      <c r="H3" s="5">
        <v>8</v>
      </c>
      <c r="I3" s="6">
        <v>25000</v>
      </c>
      <c r="J3" s="6">
        <v>200000</v>
      </c>
      <c r="K3" s="6">
        <v>40000</v>
      </c>
      <c r="L3" s="6">
        <v>160000</v>
      </c>
      <c r="M3" s="7">
        <v>80</v>
      </c>
    </row>
    <row r="4" spans="1:13" x14ac:dyDescent="0.3">
      <c r="A4" s="2" t="s">
        <v>25</v>
      </c>
      <c r="B4" s="2" t="s">
        <v>14</v>
      </c>
      <c r="C4" s="2" t="s">
        <v>15</v>
      </c>
      <c r="D4" s="2" t="s">
        <v>26</v>
      </c>
      <c r="E4" s="2" t="s">
        <v>27</v>
      </c>
      <c r="F4" s="2" t="s">
        <v>28</v>
      </c>
      <c r="G4" s="2" t="s">
        <v>29</v>
      </c>
      <c r="H4" s="2">
        <v>5</v>
      </c>
      <c r="I4" s="3">
        <v>12000</v>
      </c>
      <c r="J4" s="3">
        <v>60000</v>
      </c>
      <c r="K4" s="3">
        <v>33000</v>
      </c>
      <c r="L4" s="3">
        <v>27000</v>
      </c>
      <c r="M4" s="4">
        <v>45</v>
      </c>
    </row>
    <row r="5" spans="1:13" x14ac:dyDescent="0.3">
      <c r="A5" s="5" t="s">
        <v>30</v>
      </c>
      <c r="B5" s="5" t="s">
        <v>14</v>
      </c>
      <c r="C5" s="5" t="s">
        <v>15</v>
      </c>
      <c r="D5" s="5" t="s">
        <v>31</v>
      </c>
      <c r="E5" s="5" t="s">
        <v>32</v>
      </c>
      <c r="F5" s="5" t="s">
        <v>33</v>
      </c>
      <c r="G5" s="5" t="s">
        <v>19</v>
      </c>
      <c r="H5" s="5">
        <v>20</v>
      </c>
      <c r="I5" s="6">
        <v>2500</v>
      </c>
      <c r="J5" s="6">
        <v>50000</v>
      </c>
      <c r="K5" s="6">
        <v>15000</v>
      </c>
      <c r="L5" s="6">
        <v>35000</v>
      </c>
      <c r="M5" s="7">
        <v>70</v>
      </c>
    </row>
    <row r="6" spans="1:13" x14ac:dyDescent="0.3">
      <c r="A6" s="2" t="s">
        <v>34</v>
      </c>
      <c r="B6" s="2" t="s">
        <v>14</v>
      </c>
      <c r="C6" s="2" t="s">
        <v>15</v>
      </c>
      <c r="D6" s="2" t="s">
        <v>16</v>
      </c>
      <c r="E6" s="2" t="s">
        <v>17</v>
      </c>
      <c r="F6" s="2" t="s">
        <v>23</v>
      </c>
      <c r="G6" s="2" t="s">
        <v>24</v>
      </c>
      <c r="H6" s="2">
        <v>6</v>
      </c>
      <c r="I6" s="3">
        <v>25000</v>
      </c>
      <c r="J6" s="3">
        <v>150000</v>
      </c>
      <c r="K6" s="3">
        <v>30000</v>
      </c>
      <c r="L6" s="3">
        <v>120000</v>
      </c>
      <c r="M6" s="4">
        <v>80</v>
      </c>
    </row>
    <row r="7" spans="1:13" x14ac:dyDescent="0.3">
      <c r="A7" s="5" t="s">
        <v>35</v>
      </c>
      <c r="B7" s="5" t="s">
        <v>14</v>
      </c>
      <c r="C7" s="5" t="s">
        <v>15</v>
      </c>
      <c r="D7" s="5" t="s">
        <v>21</v>
      </c>
      <c r="E7" s="5" t="s">
        <v>22</v>
      </c>
      <c r="F7" s="5" t="s">
        <v>18</v>
      </c>
      <c r="G7" s="5" t="s">
        <v>19</v>
      </c>
      <c r="H7" s="5">
        <v>15</v>
      </c>
      <c r="I7" s="6">
        <v>5000</v>
      </c>
      <c r="J7" s="6">
        <v>75000</v>
      </c>
      <c r="K7" s="6">
        <v>30000</v>
      </c>
      <c r="L7" s="6">
        <v>45000</v>
      </c>
      <c r="M7" s="7">
        <v>60</v>
      </c>
    </row>
    <row r="8" spans="1:13" x14ac:dyDescent="0.3">
      <c r="A8" s="2" t="s">
        <v>36</v>
      </c>
      <c r="B8" s="2" t="s">
        <v>14</v>
      </c>
      <c r="C8" s="2" t="s">
        <v>15</v>
      </c>
      <c r="D8" s="2" t="s">
        <v>26</v>
      </c>
      <c r="E8" s="2" t="s">
        <v>27</v>
      </c>
      <c r="F8" s="2" t="s">
        <v>33</v>
      </c>
      <c r="G8" s="2" t="s">
        <v>19</v>
      </c>
      <c r="H8" s="2">
        <v>18</v>
      </c>
      <c r="I8" s="3">
        <v>2500</v>
      </c>
      <c r="J8" s="3">
        <v>45000</v>
      </c>
      <c r="K8" s="3">
        <v>13500</v>
      </c>
      <c r="L8" s="3">
        <v>31500</v>
      </c>
      <c r="M8" s="4">
        <v>70</v>
      </c>
    </row>
    <row r="9" spans="1:13" x14ac:dyDescent="0.3">
      <c r="A9" s="5" t="s">
        <v>37</v>
      </c>
      <c r="B9" s="5" t="s">
        <v>14</v>
      </c>
      <c r="C9" s="5" t="s">
        <v>15</v>
      </c>
      <c r="D9" s="5" t="s">
        <v>31</v>
      </c>
      <c r="E9" s="5" t="s">
        <v>32</v>
      </c>
      <c r="F9" s="5" t="s">
        <v>38</v>
      </c>
      <c r="G9" s="5" t="s">
        <v>29</v>
      </c>
      <c r="H9" s="5">
        <v>7</v>
      </c>
      <c r="I9" s="6">
        <v>8000</v>
      </c>
      <c r="J9" s="6">
        <v>56000</v>
      </c>
      <c r="K9" s="6">
        <v>33600</v>
      </c>
      <c r="L9" s="6">
        <v>22400</v>
      </c>
      <c r="M9" s="7">
        <v>40</v>
      </c>
    </row>
    <row r="10" spans="1:13" x14ac:dyDescent="0.3">
      <c r="A10" s="2" t="s">
        <v>39</v>
      </c>
      <c r="B10" s="2" t="s">
        <v>14</v>
      </c>
      <c r="C10" s="2" t="s">
        <v>15</v>
      </c>
      <c r="D10" s="2" t="s">
        <v>40</v>
      </c>
      <c r="E10" s="2" t="s">
        <v>41</v>
      </c>
      <c r="F10" s="2" t="s">
        <v>28</v>
      </c>
      <c r="G10" s="2" t="s">
        <v>29</v>
      </c>
      <c r="H10" s="2">
        <v>4</v>
      </c>
      <c r="I10" s="3">
        <v>12000</v>
      </c>
      <c r="J10" s="3">
        <v>48000</v>
      </c>
      <c r="K10" s="3">
        <v>26400</v>
      </c>
      <c r="L10" s="3">
        <v>21600</v>
      </c>
      <c r="M10" s="4">
        <v>45</v>
      </c>
    </row>
    <row r="11" spans="1:13" x14ac:dyDescent="0.3">
      <c r="A11" s="5" t="s">
        <v>42</v>
      </c>
      <c r="B11" s="5" t="s">
        <v>14</v>
      </c>
      <c r="C11" s="5" t="s">
        <v>15</v>
      </c>
      <c r="D11" s="5" t="s">
        <v>16</v>
      </c>
      <c r="E11" s="5" t="s">
        <v>17</v>
      </c>
      <c r="F11" s="5" t="s">
        <v>38</v>
      </c>
      <c r="G11" s="5" t="s">
        <v>29</v>
      </c>
      <c r="H11" s="5">
        <v>9</v>
      </c>
      <c r="I11" s="6">
        <v>8000</v>
      </c>
      <c r="J11" s="6">
        <v>72000</v>
      </c>
      <c r="K11" s="6">
        <v>43200</v>
      </c>
      <c r="L11" s="6">
        <v>28800</v>
      </c>
      <c r="M11" s="7">
        <v>40</v>
      </c>
    </row>
    <row r="12" spans="1:13" x14ac:dyDescent="0.3">
      <c r="A12" s="2" t="s">
        <v>43</v>
      </c>
      <c r="B12" s="2" t="s">
        <v>14</v>
      </c>
      <c r="C12" s="2" t="s">
        <v>15</v>
      </c>
      <c r="D12" s="2" t="s">
        <v>21</v>
      </c>
      <c r="E12" s="2" t="s">
        <v>22</v>
      </c>
      <c r="F12" s="2" t="s">
        <v>33</v>
      </c>
      <c r="G12" s="2" t="s">
        <v>19</v>
      </c>
      <c r="H12" s="2">
        <v>22</v>
      </c>
      <c r="I12" s="3">
        <v>2500</v>
      </c>
      <c r="J12" s="3">
        <v>55000</v>
      </c>
      <c r="K12" s="3">
        <v>16500</v>
      </c>
      <c r="L12" s="3">
        <v>38500</v>
      </c>
      <c r="M12" s="4">
        <v>70</v>
      </c>
    </row>
    <row r="13" spans="1:13" x14ac:dyDescent="0.3">
      <c r="A13" s="5" t="s">
        <v>44</v>
      </c>
      <c r="B13" s="5" t="s">
        <v>14</v>
      </c>
      <c r="C13" s="5" t="s">
        <v>15</v>
      </c>
      <c r="D13" s="5" t="s">
        <v>26</v>
      </c>
      <c r="E13" s="5" t="s">
        <v>27</v>
      </c>
      <c r="F13" s="5" t="s">
        <v>23</v>
      </c>
      <c r="G13" s="5" t="s">
        <v>24</v>
      </c>
      <c r="H13" s="5">
        <v>11</v>
      </c>
      <c r="I13" s="6">
        <v>25000</v>
      </c>
      <c r="J13" s="6">
        <v>275000</v>
      </c>
      <c r="K13" s="6">
        <v>55000</v>
      </c>
      <c r="L13" s="6">
        <v>220000</v>
      </c>
      <c r="M13" s="7">
        <v>80</v>
      </c>
    </row>
    <row r="14" spans="1:13" x14ac:dyDescent="0.3">
      <c r="A14" s="2" t="s">
        <v>45</v>
      </c>
      <c r="B14" s="2" t="s">
        <v>14</v>
      </c>
      <c r="C14" s="2" t="s">
        <v>15</v>
      </c>
      <c r="D14" s="2" t="s">
        <v>31</v>
      </c>
      <c r="E14" s="2" t="s">
        <v>32</v>
      </c>
      <c r="F14" s="2" t="s">
        <v>18</v>
      </c>
      <c r="G14" s="2" t="s">
        <v>19</v>
      </c>
      <c r="H14" s="2">
        <v>14</v>
      </c>
      <c r="I14" s="3">
        <v>5000</v>
      </c>
      <c r="J14" s="3">
        <v>70000</v>
      </c>
      <c r="K14" s="3">
        <v>28000</v>
      </c>
      <c r="L14" s="3">
        <v>42000</v>
      </c>
      <c r="M14" s="4">
        <v>60</v>
      </c>
    </row>
    <row r="15" spans="1:13" x14ac:dyDescent="0.3">
      <c r="A15" s="5" t="s">
        <v>46</v>
      </c>
      <c r="B15" s="5" t="s">
        <v>14</v>
      </c>
      <c r="C15" s="5" t="s">
        <v>15</v>
      </c>
      <c r="D15" s="5" t="s">
        <v>40</v>
      </c>
      <c r="E15" s="5" t="s">
        <v>41</v>
      </c>
      <c r="F15" s="5" t="s">
        <v>23</v>
      </c>
      <c r="G15" s="5" t="s">
        <v>24</v>
      </c>
      <c r="H15" s="5">
        <v>5</v>
      </c>
      <c r="I15" s="6">
        <v>25000</v>
      </c>
      <c r="J15" s="6">
        <v>125000</v>
      </c>
      <c r="K15" s="6">
        <v>25000</v>
      </c>
      <c r="L15" s="6">
        <v>100000</v>
      </c>
      <c r="M15" s="7">
        <v>80</v>
      </c>
    </row>
    <row r="16" spans="1:13" x14ac:dyDescent="0.3">
      <c r="A16" s="2" t="s">
        <v>47</v>
      </c>
      <c r="B16" s="2" t="s">
        <v>14</v>
      </c>
      <c r="C16" s="2" t="s">
        <v>15</v>
      </c>
      <c r="D16" s="2" t="s">
        <v>16</v>
      </c>
      <c r="E16" s="2" t="s">
        <v>17</v>
      </c>
      <c r="F16" s="2" t="s">
        <v>33</v>
      </c>
      <c r="G16" s="2" t="s">
        <v>19</v>
      </c>
      <c r="H16" s="2">
        <v>25</v>
      </c>
      <c r="I16" s="3">
        <v>2500</v>
      </c>
      <c r="J16" s="3">
        <v>62500</v>
      </c>
      <c r="K16" s="3">
        <v>18750</v>
      </c>
      <c r="L16" s="3">
        <v>43750</v>
      </c>
      <c r="M16" s="4">
        <v>70</v>
      </c>
    </row>
    <row r="17" spans="1:13" x14ac:dyDescent="0.3">
      <c r="A17" s="5" t="s">
        <v>48</v>
      </c>
      <c r="B17" s="5" t="s">
        <v>49</v>
      </c>
      <c r="C17" s="5" t="s">
        <v>15</v>
      </c>
      <c r="D17" s="5" t="s">
        <v>21</v>
      </c>
      <c r="E17" s="5" t="s">
        <v>22</v>
      </c>
      <c r="F17" s="5" t="s">
        <v>28</v>
      </c>
      <c r="G17" s="5" t="s">
        <v>29</v>
      </c>
      <c r="H17" s="5">
        <v>6</v>
      </c>
      <c r="I17" s="6">
        <v>12000</v>
      </c>
      <c r="J17" s="6">
        <v>72000</v>
      </c>
      <c r="K17" s="6">
        <v>39600</v>
      </c>
      <c r="L17" s="6">
        <v>32400</v>
      </c>
      <c r="M17" s="7">
        <v>45</v>
      </c>
    </row>
    <row r="18" spans="1:13" x14ac:dyDescent="0.3">
      <c r="A18" s="2" t="s">
        <v>50</v>
      </c>
      <c r="B18" s="2" t="s">
        <v>49</v>
      </c>
      <c r="C18" s="2" t="s">
        <v>15</v>
      </c>
      <c r="D18" s="2" t="s">
        <v>26</v>
      </c>
      <c r="E18" s="2" t="s">
        <v>27</v>
      </c>
      <c r="F18" s="2" t="s">
        <v>18</v>
      </c>
      <c r="G18" s="2" t="s">
        <v>19</v>
      </c>
      <c r="H18" s="2">
        <v>10</v>
      </c>
      <c r="I18" s="3">
        <v>5000</v>
      </c>
      <c r="J18" s="3">
        <v>50000</v>
      </c>
      <c r="K18" s="3">
        <v>20000</v>
      </c>
      <c r="L18" s="3">
        <v>30000</v>
      </c>
      <c r="M18" s="4">
        <v>60</v>
      </c>
    </row>
    <row r="19" spans="1:13" x14ac:dyDescent="0.3">
      <c r="A19" s="5" t="s">
        <v>51</v>
      </c>
      <c r="B19" s="5" t="s">
        <v>49</v>
      </c>
      <c r="C19" s="5" t="s">
        <v>15</v>
      </c>
      <c r="D19" s="5" t="s">
        <v>31</v>
      </c>
      <c r="E19" s="5" t="s">
        <v>32</v>
      </c>
      <c r="F19" s="5" t="s">
        <v>23</v>
      </c>
      <c r="G19" s="5" t="s">
        <v>24</v>
      </c>
      <c r="H19" s="5">
        <v>9</v>
      </c>
      <c r="I19" s="6">
        <v>25000</v>
      </c>
      <c r="J19" s="6">
        <v>225000</v>
      </c>
      <c r="K19" s="6">
        <v>45000</v>
      </c>
      <c r="L19" s="6">
        <v>180000</v>
      </c>
      <c r="M19" s="7">
        <v>80</v>
      </c>
    </row>
    <row r="20" spans="1:13" x14ac:dyDescent="0.3">
      <c r="A20" s="2" t="s">
        <v>52</v>
      </c>
      <c r="B20" s="2" t="s">
        <v>49</v>
      </c>
      <c r="C20" s="2" t="s">
        <v>15</v>
      </c>
      <c r="D20" s="2" t="s">
        <v>40</v>
      </c>
      <c r="E20" s="2" t="s">
        <v>41</v>
      </c>
      <c r="F20" s="2" t="s">
        <v>33</v>
      </c>
      <c r="G20" s="2" t="s">
        <v>19</v>
      </c>
      <c r="H20" s="2">
        <v>17</v>
      </c>
      <c r="I20" s="3">
        <v>2500</v>
      </c>
      <c r="J20" s="3">
        <v>42500</v>
      </c>
      <c r="K20" s="3">
        <v>12750</v>
      </c>
      <c r="L20" s="3">
        <v>29750</v>
      </c>
      <c r="M20" s="4">
        <v>70</v>
      </c>
    </row>
    <row r="21" spans="1:13" x14ac:dyDescent="0.3">
      <c r="A21" s="5" t="s">
        <v>53</v>
      </c>
      <c r="B21" s="5" t="s">
        <v>49</v>
      </c>
      <c r="C21" s="5" t="s">
        <v>15</v>
      </c>
      <c r="D21" s="5" t="s">
        <v>16</v>
      </c>
      <c r="E21" s="5" t="s">
        <v>17</v>
      </c>
      <c r="F21" s="5" t="s">
        <v>38</v>
      </c>
      <c r="G21" s="5" t="s">
        <v>29</v>
      </c>
      <c r="H21" s="5">
        <v>8</v>
      </c>
      <c r="I21" s="6">
        <v>8000</v>
      </c>
      <c r="J21" s="6">
        <v>64000</v>
      </c>
      <c r="K21" s="6">
        <v>38400</v>
      </c>
      <c r="L21" s="6">
        <v>25600</v>
      </c>
      <c r="M21" s="7">
        <v>40</v>
      </c>
    </row>
    <row r="22" spans="1:13" x14ac:dyDescent="0.3">
      <c r="A22" s="2" t="s">
        <v>54</v>
      </c>
      <c r="B22" s="2" t="s">
        <v>49</v>
      </c>
      <c r="C22" s="2" t="s">
        <v>15</v>
      </c>
      <c r="D22" s="2" t="s">
        <v>21</v>
      </c>
      <c r="E22" s="2" t="s">
        <v>22</v>
      </c>
      <c r="F22" s="2" t="s">
        <v>23</v>
      </c>
      <c r="G22" s="2" t="s">
        <v>24</v>
      </c>
      <c r="H22" s="2">
        <v>13</v>
      </c>
      <c r="I22" s="3">
        <v>25000</v>
      </c>
      <c r="J22" s="3">
        <v>325000</v>
      </c>
      <c r="K22" s="3">
        <v>65000</v>
      </c>
      <c r="L22" s="3">
        <v>260000</v>
      </c>
      <c r="M22" s="4">
        <v>80</v>
      </c>
    </row>
    <row r="23" spans="1:13" x14ac:dyDescent="0.3">
      <c r="A23" s="5" t="s">
        <v>55</v>
      </c>
      <c r="B23" s="5" t="s">
        <v>49</v>
      </c>
      <c r="C23" s="5" t="s">
        <v>15</v>
      </c>
      <c r="D23" s="5" t="s">
        <v>26</v>
      </c>
      <c r="E23" s="5" t="s">
        <v>27</v>
      </c>
      <c r="F23" s="5" t="s">
        <v>38</v>
      </c>
      <c r="G23" s="5" t="s">
        <v>29</v>
      </c>
      <c r="H23" s="5">
        <v>6</v>
      </c>
      <c r="I23" s="6">
        <v>8000</v>
      </c>
      <c r="J23" s="6">
        <v>48000</v>
      </c>
      <c r="K23" s="6">
        <v>28800</v>
      </c>
      <c r="L23" s="6">
        <v>19200</v>
      </c>
      <c r="M23" s="7">
        <v>40</v>
      </c>
    </row>
    <row r="24" spans="1:13" x14ac:dyDescent="0.3">
      <c r="A24" s="2" t="s">
        <v>56</v>
      </c>
      <c r="B24" s="2" t="s">
        <v>49</v>
      </c>
      <c r="C24" s="2" t="s">
        <v>15</v>
      </c>
      <c r="D24" s="2" t="s">
        <v>31</v>
      </c>
      <c r="E24" s="2" t="s">
        <v>32</v>
      </c>
      <c r="F24" s="2" t="s">
        <v>28</v>
      </c>
      <c r="G24" s="2" t="s">
        <v>29</v>
      </c>
      <c r="H24" s="2">
        <v>5</v>
      </c>
      <c r="I24" s="3">
        <v>12000</v>
      </c>
      <c r="J24" s="3">
        <v>60000</v>
      </c>
      <c r="K24" s="3">
        <v>33000</v>
      </c>
      <c r="L24" s="3">
        <v>27000</v>
      </c>
      <c r="M24" s="4">
        <v>45</v>
      </c>
    </row>
    <row r="25" spans="1:13" x14ac:dyDescent="0.3">
      <c r="A25" s="5" t="s">
        <v>57</v>
      </c>
      <c r="B25" s="5" t="s">
        <v>49</v>
      </c>
      <c r="C25" s="5" t="s">
        <v>15</v>
      </c>
      <c r="D25" s="5" t="s">
        <v>40</v>
      </c>
      <c r="E25" s="5" t="s">
        <v>41</v>
      </c>
      <c r="F25" s="5" t="s">
        <v>18</v>
      </c>
      <c r="G25" s="5" t="s">
        <v>19</v>
      </c>
      <c r="H25" s="5">
        <v>11</v>
      </c>
      <c r="I25" s="6">
        <v>5000</v>
      </c>
      <c r="J25" s="6">
        <v>55000</v>
      </c>
      <c r="K25" s="6">
        <v>22000</v>
      </c>
      <c r="L25" s="6">
        <v>33000</v>
      </c>
      <c r="M25" s="7">
        <v>60</v>
      </c>
    </row>
    <row r="26" spans="1:13" x14ac:dyDescent="0.3">
      <c r="A26" s="2" t="s">
        <v>58</v>
      </c>
      <c r="B26" s="2" t="s">
        <v>49</v>
      </c>
      <c r="C26" s="2" t="s">
        <v>15</v>
      </c>
      <c r="D26" s="2" t="s">
        <v>16</v>
      </c>
      <c r="E26" s="2" t="s">
        <v>17</v>
      </c>
      <c r="F26" s="2" t="s">
        <v>23</v>
      </c>
      <c r="G26" s="2" t="s">
        <v>24</v>
      </c>
      <c r="H26" s="2">
        <v>7</v>
      </c>
      <c r="I26" s="3">
        <v>25000</v>
      </c>
      <c r="J26" s="3">
        <v>175000</v>
      </c>
      <c r="K26" s="3">
        <v>35000</v>
      </c>
      <c r="L26" s="3">
        <v>140000</v>
      </c>
      <c r="M26" s="4">
        <v>80</v>
      </c>
    </row>
    <row r="27" spans="1:13" x14ac:dyDescent="0.3">
      <c r="A27" s="5" t="s">
        <v>59</v>
      </c>
      <c r="B27" s="5" t="s">
        <v>60</v>
      </c>
      <c r="C27" s="5" t="s">
        <v>15</v>
      </c>
      <c r="D27" s="5" t="s">
        <v>21</v>
      </c>
      <c r="E27" s="5" t="s">
        <v>22</v>
      </c>
      <c r="F27" s="5" t="s">
        <v>33</v>
      </c>
      <c r="G27" s="5" t="s">
        <v>19</v>
      </c>
      <c r="H27" s="5">
        <v>19</v>
      </c>
      <c r="I27" s="6">
        <v>2500</v>
      </c>
      <c r="J27" s="6">
        <v>47500</v>
      </c>
      <c r="K27" s="6">
        <v>14250</v>
      </c>
      <c r="L27" s="6">
        <v>33250</v>
      </c>
      <c r="M27" s="7">
        <v>70</v>
      </c>
    </row>
    <row r="28" spans="1:13" x14ac:dyDescent="0.3">
      <c r="A28" s="2" t="s">
        <v>61</v>
      </c>
      <c r="B28" s="2" t="s">
        <v>60</v>
      </c>
      <c r="C28" s="2" t="s">
        <v>15</v>
      </c>
      <c r="D28" s="2" t="s">
        <v>26</v>
      </c>
      <c r="E28" s="2" t="s">
        <v>27</v>
      </c>
      <c r="F28" s="2" t="s">
        <v>28</v>
      </c>
      <c r="G28" s="2" t="s">
        <v>29</v>
      </c>
      <c r="H28" s="2">
        <v>8</v>
      </c>
      <c r="I28" s="3">
        <v>12000</v>
      </c>
      <c r="J28" s="3">
        <v>96000</v>
      </c>
      <c r="K28" s="3">
        <v>52800</v>
      </c>
      <c r="L28" s="3">
        <v>43200</v>
      </c>
      <c r="M28" s="4">
        <v>45</v>
      </c>
    </row>
    <row r="29" spans="1:13" x14ac:dyDescent="0.3">
      <c r="A29" s="5" t="s">
        <v>62</v>
      </c>
      <c r="B29" s="5" t="s">
        <v>60</v>
      </c>
      <c r="C29" s="5" t="s">
        <v>15</v>
      </c>
      <c r="D29" s="5" t="s">
        <v>31</v>
      </c>
      <c r="E29" s="5" t="s">
        <v>32</v>
      </c>
      <c r="F29" s="5" t="s">
        <v>18</v>
      </c>
      <c r="G29" s="5" t="s">
        <v>19</v>
      </c>
      <c r="H29" s="5">
        <v>16</v>
      </c>
      <c r="I29" s="6">
        <v>5000</v>
      </c>
      <c r="J29" s="6">
        <v>80000</v>
      </c>
      <c r="K29" s="6">
        <v>32000</v>
      </c>
      <c r="L29" s="6">
        <v>48000</v>
      </c>
      <c r="M29" s="7">
        <v>60</v>
      </c>
    </row>
    <row r="30" spans="1:13" x14ac:dyDescent="0.3">
      <c r="A30" s="2" t="s">
        <v>63</v>
      </c>
      <c r="B30" s="2" t="s">
        <v>60</v>
      </c>
      <c r="C30" s="2" t="s">
        <v>15</v>
      </c>
      <c r="D30" s="2" t="s">
        <v>40</v>
      </c>
      <c r="E30" s="2" t="s">
        <v>41</v>
      </c>
      <c r="F30" s="2" t="s">
        <v>38</v>
      </c>
      <c r="G30" s="2" t="s">
        <v>29</v>
      </c>
      <c r="H30" s="2">
        <v>10</v>
      </c>
      <c r="I30" s="3">
        <v>8000</v>
      </c>
      <c r="J30" s="3">
        <v>80000</v>
      </c>
      <c r="K30" s="3">
        <v>48000</v>
      </c>
      <c r="L30" s="3">
        <v>32000</v>
      </c>
      <c r="M30" s="4">
        <v>40</v>
      </c>
    </row>
    <row r="31" spans="1:13" x14ac:dyDescent="0.3">
      <c r="A31" s="5" t="s">
        <v>64</v>
      </c>
      <c r="B31" s="5" t="s">
        <v>60</v>
      </c>
      <c r="C31" s="5" t="s">
        <v>15</v>
      </c>
      <c r="D31" s="5" t="s">
        <v>16</v>
      </c>
      <c r="E31" s="5" t="s">
        <v>17</v>
      </c>
      <c r="F31" s="5" t="s">
        <v>18</v>
      </c>
      <c r="G31" s="5" t="s">
        <v>19</v>
      </c>
      <c r="H31" s="5">
        <v>20</v>
      </c>
      <c r="I31" s="6">
        <v>5000</v>
      </c>
      <c r="J31" s="6">
        <v>100000</v>
      </c>
      <c r="K31" s="6">
        <v>40000</v>
      </c>
      <c r="L31" s="6">
        <v>60000</v>
      </c>
      <c r="M31" s="7">
        <v>60</v>
      </c>
    </row>
    <row r="32" spans="1:13" x14ac:dyDescent="0.3">
      <c r="A32" s="2" t="s">
        <v>65</v>
      </c>
      <c r="B32" s="2" t="s">
        <v>66</v>
      </c>
      <c r="C32" s="2" t="s">
        <v>67</v>
      </c>
      <c r="D32" s="2" t="s">
        <v>21</v>
      </c>
      <c r="E32" s="2" t="s">
        <v>22</v>
      </c>
      <c r="F32" s="2" t="s">
        <v>23</v>
      </c>
      <c r="G32" s="2" t="s">
        <v>24</v>
      </c>
      <c r="H32" s="2">
        <v>14</v>
      </c>
      <c r="I32" s="3">
        <v>25000</v>
      </c>
      <c r="J32" s="3">
        <v>350000</v>
      </c>
      <c r="K32" s="3">
        <v>70000</v>
      </c>
      <c r="L32" s="3">
        <v>280000</v>
      </c>
      <c r="M32" s="4">
        <v>80</v>
      </c>
    </row>
    <row r="33" spans="1:13" x14ac:dyDescent="0.3">
      <c r="A33" s="5" t="s">
        <v>68</v>
      </c>
      <c r="B33" s="5" t="s">
        <v>66</v>
      </c>
      <c r="C33" s="5" t="s">
        <v>67</v>
      </c>
      <c r="D33" s="5" t="s">
        <v>26</v>
      </c>
      <c r="E33" s="5" t="s">
        <v>27</v>
      </c>
      <c r="F33" s="5" t="s">
        <v>33</v>
      </c>
      <c r="G33" s="5" t="s">
        <v>19</v>
      </c>
      <c r="H33" s="5">
        <v>23</v>
      </c>
      <c r="I33" s="6">
        <v>2500</v>
      </c>
      <c r="J33" s="6">
        <v>57500</v>
      </c>
      <c r="K33" s="6">
        <v>17250</v>
      </c>
      <c r="L33" s="6">
        <v>40250</v>
      </c>
      <c r="M33" s="7">
        <v>70</v>
      </c>
    </row>
    <row r="34" spans="1:13" x14ac:dyDescent="0.3">
      <c r="A34" s="2" t="s">
        <v>69</v>
      </c>
      <c r="B34" s="2" t="s">
        <v>66</v>
      </c>
      <c r="C34" s="2" t="s">
        <v>67</v>
      </c>
      <c r="D34" s="2" t="s">
        <v>31</v>
      </c>
      <c r="E34" s="2" t="s">
        <v>32</v>
      </c>
      <c r="F34" s="2" t="s">
        <v>28</v>
      </c>
      <c r="G34" s="2" t="s">
        <v>29</v>
      </c>
      <c r="H34" s="2">
        <v>9</v>
      </c>
      <c r="I34" s="3">
        <v>12000</v>
      </c>
      <c r="J34" s="3">
        <v>108000</v>
      </c>
      <c r="K34" s="3">
        <v>59400</v>
      </c>
      <c r="L34" s="3">
        <v>48600</v>
      </c>
      <c r="M34" s="4">
        <v>45</v>
      </c>
    </row>
    <row r="35" spans="1:13" x14ac:dyDescent="0.3">
      <c r="A35" s="5" t="s">
        <v>70</v>
      </c>
      <c r="B35" s="5" t="s">
        <v>66</v>
      </c>
      <c r="C35" s="5" t="s">
        <v>67</v>
      </c>
      <c r="D35" s="5" t="s">
        <v>40</v>
      </c>
      <c r="E35" s="5" t="s">
        <v>41</v>
      </c>
      <c r="F35" s="5" t="s">
        <v>23</v>
      </c>
      <c r="G35" s="5" t="s">
        <v>24</v>
      </c>
      <c r="H35" s="5">
        <v>6</v>
      </c>
      <c r="I35" s="6">
        <v>25000</v>
      </c>
      <c r="J35" s="6">
        <v>150000</v>
      </c>
      <c r="K35" s="6">
        <v>30000</v>
      </c>
      <c r="L35" s="6">
        <v>120000</v>
      </c>
      <c r="M35" s="7">
        <v>80</v>
      </c>
    </row>
    <row r="36" spans="1:13" x14ac:dyDescent="0.3">
      <c r="A36" s="2" t="s">
        <v>71</v>
      </c>
      <c r="B36" s="2" t="s">
        <v>66</v>
      </c>
      <c r="C36" s="2" t="s">
        <v>67</v>
      </c>
      <c r="D36" s="2" t="s">
        <v>16</v>
      </c>
      <c r="E36" s="2" t="s">
        <v>17</v>
      </c>
      <c r="F36" s="2" t="s">
        <v>38</v>
      </c>
      <c r="G36" s="2" t="s">
        <v>29</v>
      </c>
      <c r="H36" s="2">
        <v>12</v>
      </c>
      <c r="I36" s="3">
        <v>8000</v>
      </c>
      <c r="J36" s="3">
        <v>96000</v>
      </c>
      <c r="K36" s="3">
        <v>57600</v>
      </c>
      <c r="L36" s="3">
        <v>38400</v>
      </c>
      <c r="M36" s="4">
        <v>40</v>
      </c>
    </row>
    <row r="37" spans="1:13" x14ac:dyDescent="0.3">
      <c r="A37" s="5" t="s">
        <v>72</v>
      </c>
      <c r="B37" s="5" t="s">
        <v>66</v>
      </c>
      <c r="C37" s="5" t="s">
        <v>67</v>
      </c>
      <c r="D37" s="5" t="s">
        <v>21</v>
      </c>
      <c r="E37" s="5" t="s">
        <v>22</v>
      </c>
      <c r="F37" s="5" t="s">
        <v>18</v>
      </c>
      <c r="G37" s="5" t="s">
        <v>19</v>
      </c>
      <c r="H37" s="5">
        <v>17</v>
      </c>
      <c r="I37" s="6">
        <v>5000</v>
      </c>
      <c r="J37" s="6">
        <v>85000</v>
      </c>
      <c r="K37" s="6">
        <v>34000</v>
      </c>
      <c r="L37" s="6">
        <v>51000</v>
      </c>
      <c r="M37" s="7">
        <v>60</v>
      </c>
    </row>
    <row r="38" spans="1:13" x14ac:dyDescent="0.3">
      <c r="A38" s="2" t="s">
        <v>73</v>
      </c>
      <c r="B38" s="2" t="s">
        <v>66</v>
      </c>
      <c r="C38" s="2" t="s">
        <v>67</v>
      </c>
      <c r="D38" s="2" t="s">
        <v>26</v>
      </c>
      <c r="E38" s="2" t="s">
        <v>27</v>
      </c>
      <c r="F38" s="2" t="s">
        <v>23</v>
      </c>
      <c r="G38" s="2" t="s">
        <v>24</v>
      </c>
      <c r="H38" s="2">
        <v>8</v>
      </c>
      <c r="I38" s="3">
        <v>25000</v>
      </c>
      <c r="J38" s="3">
        <v>200000</v>
      </c>
      <c r="K38" s="3">
        <v>40000</v>
      </c>
      <c r="L38" s="3">
        <v>160000</v>
      </c>
      <c r="M38" s="4">
        <v>80</v>
      </c>
    </row>
    <row r="39" spans="1:13" x14ac:dyDescent="0.3">
      <c r="A39" s="5" t="s">
        <v>74</v>
      </c>
      <c r="B39" s="5" t="s">
        <v>66</v>
      </c>
      <c r="C39" s="5" t="s">
        <v>67</v>
      </c>
      <c r="D39" s="5" t="s">
        <v>31</v>
      </c>
      <c r="E39" s="5" t="s">
        <v>32</v>
      </c>
      <c r="F39" s="5" t="s">
        <v>33</v>
      </c>
      <c r="G39" s="5" t="s">
        <v>19</v>
      </c>
      <c r="H39" s="5">
        <v>28</v>
      </c>
      <c r="I39" s="6">
        <v>2500</v>
      </c>
      <c r="J39" s="6">
        <v>70000</v>
      </c>
      <c r="K39" s="6">
        <v>21000</v>
      </c>
      <c r="L39" s="6">
        <v>49000</v>
      </c>
      <c r="M39" s="7">
        <v>70</v>
      </c>
    </row>
    <row r="40" spans="1:13" x14ac:dyDescent="0.3">
      <c r="A40" s="2" t="s">
        <v>75</v>
      </c>
      <c r="B40" s="2" t="s">
        <v>66</v>
      </c>
      <c r="C40" s="2" t="s">
        <v>67</v>
      </c>
      <c r="D40" s="2" t="s">
        <v>40</v>
      </c>
      <c r="E40" s="2" t="s">
        <v>41</v>
      </c>
      <c r="F40" s="2" t="s">
        <v>28</v>
      </c>
      <c r="G40" s="2" t="s">
        <v>29</v>
      </c>
      <c r="H40" s="2">
        <v>7</v>
      </c>
      <c r="I40" s="3">
        <v>12000</v>
      </c>
      <c r="J40" s="3">
        <v>84000</v>
      </c>
      <c r="K40" s="3">
        <v>46200</v>
      </c>
      <c r="L40" s="3">
        <v>37800</v>
      </c>
      <c r="M40" s="4">
        <v>45</v>
      </c>
    </row>
    <row r="41" spans="1:13" x14ac:dyDescent="0.3">
      <c r="A41" s="5" t="s">
        <v>76</v>
      </c>
      <c r="B41" s="5" t="s">
        <v>66</v>
      </c>
      <c r="C41" s="5" t="s">
        <v>67</v>
      </c>
      <c r="D41" s="5" t="s">
        <v>16</v>
      </c>
      <c r="E41" s="5" t="s">
        <v>17</v>
      </c>
      <c r="F41" s="5" t="s">
        <v>18</v>
      </c>
      <c r="G41" s="5" t="s">
        <v>19</v>
      </c>
      <c r="H41" s="5">
        <v>22</v>
      </c>
      <c r="I41" s="6">
        <v>5000</v>
      </c>
      <c r="J41" s="6">
        <v>110000</v>
      </c>
      <c r="K41" s="6">
        <v>44000</v>
      </c>
      <c r="L41" s="6">
        <v>66000</v>
      </c>
      <c r="M41" s="7">
        <v>60</v>
      </c>
    </row>
    <row r="42" spans="1:13" x14ac:dyDescent="0.3">
      <c r="A42" s="2" t="s">
        <v>77</v>
      </c>
      <c r="B42" s="2" t="s">
        <v>66</v>
      </c>
      <c r="C42" s="2" t="s">
        <v>67</v>
      </c>
      <c r="D42" s="2" t="s">
        <v>21</v>
      </c>
      <c r="E42" s="2" t="s">
        <v>22</v>
      </c>
      <c r="F42" s="2" t="s">
        <v>38</v>
      </c>
      <c r="G42" s="2" t="s">
        <v>29</v>
      </c>
      <c r="H42" s="2">
        <v>11</v>
      </c>
      <c r="I42" s="3">
        <v>8000</v>
      </c>
      <c r="J42" s="3">
        <v>88000</v>
      </c>
      <c r="K42" s="3">
        <v>52800</v>
      </c>
      <c r="L42" s="3">
        <v>35200</v>
      </c>
      <c r="M42" s="4">
        <v>40</v>
      </c>
    </row>
    <row r="43" spans="1:13" x14ac:dyDescent="0.3">
      <c r="A43" s="5" t="s">
        <v>78</v>
      </c>
      <c r="B43" s="5" t="s">
        <v>66</v>
      </c>
      <c r="C43" s="5" t="s">
        <v>67</v>
      </c>
      <c r="D43" s="5" t="s">
        <v>26</v>
      </c>
      <c r="E43" s="5" t="s">
        <v>27</v>
      </c>
      <c r="F43" s="5" t="s">
        <v>33</v>
      </c>
      <c r="G43" s="5" t="s">
        <v>19</v>
      </c>
      <c r="H43" s="5">
        <v>15</v>
      </c>
      <c r="I43" s="6">
        <v>2500</v>
      </c>
      <c r="J43" s="6">
        <v>37500</v>
      </c>
      <c r="K43" s="6">
        <v>11250</v>
      </c>
      <c r="L43" s="6">
        <v>26250</v>
      </c>
      <c r="M43" s="7">
        <v>70</v>
      </c>
    </row>
    <row r="44" spans="1:13" x14ac:dyDescent="0.3">
      <c r="A44" s="2" t="s">
        <v>79</v>
      </c>
      <c r="B44" s="2" t="s">
        <v>66</v>
      </c>
      <c r="C44" s="2" t="s">
        <v>67</v>
      </c>
      <c r="D44" s="2" t="s">
        <v>31</v>
      </c>
      <c r="E44" s="2" t="s">
        <v>32</v>
      </c>
      <c r="F44" s="2" t="s">
        <v>23</v>
      </c>
      <c r="G44" s="2" t="s">
        <v>24</v>
      </c>
      <c r="H44" s="2">
        <v>10</v>
      </c>
      <c r="I44" s="3">
        <v>25000</v>
      </c>
      <c r="J44" s="3">
        <v>250000</v>
      </c>
      <c r="K44" s="3">
        <v>50000</v>
      </c>
      <c r="L44" s="3">
        <v>200000</v>
      </c>
      <c r="M44" s="4">
        <v>80</v>
      </c>
    </row>
    <row r="45" spans="1:13" x14ac:dyDescent="0.3">
      <c r="A45" s="5" t="s">
        <v>80</v>
      </c>
      <c r="B45" s="5" t="s">
        <v>66</v>
      </c>
      <c r="C45" s="5" t="s">
        <v>67</v>
      </c>
      <c r="D45" s="5" t="s">
        <v>40</v>
      </c>
      <c r="E45" s="5" t="s">
        <v>41</v>
      </c>
      <c r="F45" s="5" t="s">
        <v>18</v>
      </c>
      <c r="G45" s="5" t="s">
        <v>19</v>
      </c>
      <c r="H45" s="5">
        <v>13</v>
      </c>
      <c r="I45" s="6">
        <v>5000</v>
      </c>
      <c r="J45" s="6">
        <v>65000</v>
      </c>
      <c r="K45" s="6">
        <v>26000</v>
      </c>
      <c r="L45" s="6">
        <v>39000</v>
      </c>
      <c r="M45" s="7">
        <v>60</v>
      </c>
    </row>
    <row r="46" spans="1:13" x14ac:dyDescent="0.3">
      <c r="A46" s="2" t="s">
        <v>81</v>
      </c>
      <c r="B46" s="2" t="s">
        <v>66</v>
      </c>
      <c r="C46" s="2" t="s">
        <v>67</v>
      </c>
      <c r="D46" s="2" t="s">
        <v>16</v>
      </c>
      <c r="E46" s="2" t="s">
        <v>17</v>
      </c>
      <c r="F46" s="2" t="s">
        <v>28</v>
      </c>
      <c r="G46" s="2" t="s">
        <v>29</v>
      </c>
      <c r="H46" s="2">
        <v>6</v>
      </c>
      <c r="I46" s="3">
        <v>12000</v>
      </c>
      <c r="J46" s="3">
        <v>72000</v>
      </c>
      <c r="K46" s="3">
        <v>39600</v>
      </c>
      <c r="L46" s="3">
        <v>32400</v>
      </c>
      <c r="M46" s="4">
        <v>45</v>
      </c>
    </row>
    <row r="47" spans="1:13" x14ac:dyDescent="0.3">
      <c r="A47" s="5" t="s">
        <v>82</v>
      </c>
      <c r="B47" s="5" t="s">
        <v>83</v>
      </c>
      <c r="C47" s="5" t="s">
        <v>67</v>
      </c>
      <c r="D47" s="5" t="s">
        <v>21</v>
      </c>
      <c r="E47" s="5" t="s">
        <v>22</v>
      </c>
      <c r="F47" s="5" t="s">
        <v>33</v>
      </c>
      <c r="G47" s="5" t="s">
        <v>19</v>
      </c>
      <c r="H47" s="5">
        <v>21</v>
      </c>
      <c r="I47" s="6">
        <v>2500</v>
      </c>
      <c r="J47" s="6">
        <v>52500</v>
      </c>
      <c r="K47" s="6">
        <v>15750</v>
      </c>
      <c r="L47" s="6">
        <v>36750</v>
      </c>
      <c r="M47" s="7">
        <v>70</v>
      </c>
    </row>
    <row r="48" spans="1:13" x14ac:dyDescent="0.3">
      <c r="A48" s="2" t="s">
        <v>84</v>
      </c>
      <c r="B48" s="2" t="s">
        <v>83</v>
      </c>
      <c r="C48" s="2" t="s">
        <v>67</v>
      </c>
      <c r="D48" s="2" t="s">
        <v>26</v>
      </c>
      <c r="E48" s="2" t="s">
        <v>27</v>
      </c>
      <c r="F48" s="2" t="s">
        <v>18</v>
      </c>
      <c r="G48" s="2" t="s">
        <v>19</v>
      </c>
      <c r="H48" s="2">
        <v>14</v>
      </c>
      <c r="I48" s="3">
        <v>5000</v>
      </c>
      <c r="J48" s="3">
        <v>70000</v>
      </c>
      <c r="K48" s="3">
        <v>28000</v>
      </c>
      <c r="L48" s="3">
        <v>42000</v>
      </c>
      <c r="M48" s="4">
        <v>60</v>
      </c>
    </row>
    <row r="49" spans="1:13" x14ac:dyDescent="0.3">
      <c r="A49" s="5" t="s">
        <v>85</v>
      </c>
      <c r="B49" s="5" t="s">
        <v>83</v>
      </c>
      <c r="C49" s="5" t="s">
        <v>67</v>
      </c>
      <c r="D49" s="5" t="s">
        <v>31</v>
      </c>
      <c r="E49" s="5" t="s">
        <v>32</v>
      </c>
      <c r="F49" s="5" t="s">
        <v>38</v>
      </c>
      <c r="G49" s="5" t="s">
        <v>29</v>
      </c>
      <c r="H49" s="5">
        <v>8</v>
      </c>
      <c r="I49" s="6">
        <v>8000</v>
      </c>
      <c r="J49" s="6">
        <v>64000</v>
      </c>
      <c r="K49" s="6">
        <v>38400</v>
      </c>
      <c r="L49" s="6">
        <v>25600</v>
      </c>
      <c r="M49" s="7">
        <v>40</v>
      </c>
    </row>
    <row r="50" spans="1:13" x14ac:dyDescent="0.3">
      <c r="A50" s="2" t="s">
        <v>86</v>
      </c>
      <c r="B50" s="2" t="s">
        <v>83</v>
      </c>
      <c r="C50" s="2" t="s">
        <v>67</v>
      </c>
      <c r="D50" s="2" t="s">
        <v>40</v>
      </c>
      <c r="E50" s="2" t="s">
        <v>41</v>
      </c>
      <c r="F50" s="2" t="s">
        <v>23</v>
      </c>
      <c r="G50" s="2" t="s">
        <v>24</v>
      </c>
      <c r="H50" s="2">
        <v>9</v>
      </c>
      <c r="I50" s="3">
        <v>25000</v>
      </c>
      <c r="J50" s="3">
        <v>225000</v>
      </c>
      <c r="K50" s="3">
        <v>45000</v>
      </c>
      <c r="L50" s="3">
        <v>180000</v>
      </c>
      <c r="M50" s="4">
        <v>80</v>
      </c>
    </row>
    <row r="51" spans="1:13" x14ac:dyDescent="0.3">
      <c r="A51" s="5" t="s">
        <v>87</v>
      </c>
      <c r="B51" s="5" t="s">
        <v>83</v>
      </c>
      <c r="C51" s="5" t="s">
        <v>67</v>
      </c>
      <c r="D51" s="5" t="s">
        <v>16</v>
      </c>
      <c r="E51" s="5" t="s">
        <v>17</v>
      </c>
      <c r="F51" s="5" t="s">
        <v>33</v>
      </c>
      <c r="G51" s="5" t="s">
        <v>19</v>
      </c>
      <c r="H51" s="5">
        <v>30</v>
      </c>
      <c r="I51" s="6">
        <v>2500</v>
      </c>
      <c r="J51" s="6">
        <v>75000</v>
      </c>
      <c r="K51" s="6">
        <v>22500</v>
      </c>
      <c r="L51" s="6">
        <v>52500</v>
      </c>
      <c r="M51" s="7">
        <v>70</v>
      </c>
    </row>
    <row r="52" spans="1:13" x14ac:dyDescent="0.3">
      <c r="A52" s="2" t="s">
        <v>88</v>
      </c>
      <c r="B52" s="2" t="s">
        <v>83</v>
      </c>
      <c r="C52" s="2" t="s">
        <v>67</v>
      </c>
      <c r="D52" s="2" t="s">
        <v>21</v>
      </c>
      <c r="E52" s="2" t="s">
        <v>22</v>
      </c>
      <c r="F52" s="2" t="s">
        <v>28</v>
      </c>
      <c r="G52" s="2" t="s">
        <v>29</v>
      </c>
      <c r="H52" s="2">
        <v>5</v>
      </c>
      <c r="I52" s="3">
        <v>12000</v>
      </c>
      <c r="J52" s="3">
        <v>60000</v>
      </c>
      <c r="K52" s="3">
        <v>33000</v>
      </c>
      <c r="L52" s="3">
        <v>27000</v>
      </c>
      <c r="M52" s="4">
        <v>45</v>
      </c>
    </row>
    <row r="53" spans="1:13" x14ac:dyDescent="0.3">
      <c r="A53" s="5" t="s">
        <v>89</v>
      </c>
      <c r="B53" s="5" t="s">
        <v>83</v>
      </c>
      <c r="C53" s="5" t="s">
        <v>67</v>
      </c>
      <c r="D53" s="5" t="s">
        <v>26</v>
      </c>
      <c r="E53" s="5" t="s">
        <v>27</v>
      </c>
      <c r="F53" s="5" t="s">
        <v>38</v>
      </c>
      <c r="G53" s="5" t="s">
        <v>29</v>
      </c>
      <c r="H53" s="5">
        <v>7</v>
      </c>
      <c r="I53" s="6">
        <v>8000</v>
      </c>
      <c r="J53" s="6">
        <v>56000</v>
      </c>
      <c r="K53" s="6">
        <v>33600</v>
      </c>
      <c r="L53" s="6">
        <v>22400</v>
      </c>
      <c r="M53" s="7">
        <v>40</v>
      </c>
    </row>
    <row r="54" spans="1:13" x14ac:dyDescent="0.3">
      <c r="A54" s="2" t="s">
        <v>90</v>
      </c>
      <c r="B54" s="2" t="s">
        <v>83</v>
      </c>
      <c r="C54" s="2" t="s">
        <v>67</v>
      </c>
      <c r="D54" s="2" t="s">
        <v>31</v>
      </c>
      <c r="E54" s="2" t="s">
        <v>32</v>
      </c>
      <c r="F54" s="2" t="s">
        <v>18</v>
      </c>
      <c r="G54" s="2" t="s">
        <v>19</v>
      </c>
      <c r="H54" s="2">
        <v>18</v>
      </c>
      <c r="I54" s="3">
        <v>5000</v>
      </c>
      <c r="J54" s="3">
        <v>90000</v>
      </c>
      <c r="K54" s="3">
        <v>36000</v>
      </c>
      <c r="L54" s="3">
        <v>54000</v>
      </c>
      <c r="M54" s="4">
        <v>60</v>
      </c>
    </row>
    <row r="55" spans="1:13" x14ac:dyDescent="0.3">
      <c r="A55" s="5" t="s">
        <v>91</v>
      </c>
      <c r="B55" s="5" t="s">
        <v>83</v>
      </c>
      <c r="C55" s="5" t="s">
        <v>67</v>
      </c>
      <c r="D55" s="5" t="s">
        <v>40</v>
      </c>
      <c r="E55" s="5" t="s">
        <v>41</v>
      </c>
      <c r="F55" s="5" t="s">
        <v>33</v>
      </c>
      <c r="G55" s="5" t="s">
        <v>19</v>
      </c>
      <c r="H55" s="5">
        <v>24</v>
      </c>
      <c r="I55" s="6">
        <v>2500</v>
      </c>
      <c r="J55" s="6">
        <v>60000</v>
      </c>
      <c r="K55" s="6">
        <v>18000</v>
      </c>
      <c r="L55" s="6">
        <v>42000</v>
      </c>
      <c r="M55" s="7">
        <v>70</v>
      </c>
    </row>
    <row r="56" spans="1:13" x14ac:dyDescent="0.3">
      <c r="A56" s="2" t="s">
        <v>92</v>
      </c>
      <c r="B56" s="2" t="s">
        <v>83</v>
      </c>
      <c r="C56" s="2" t="s">
        <v>67</v>
      </c>
      <c r="D56" s="2" t="s">
        <v>16</v>
      </c>
      <c r="E56" s="2" t="s">
        <v>17</v>
      </c>
      <c r="F56" s="2" t="s">
        <v>23</v>
      </c>
      <c r="G56" s="2" t="s">
        <v>24</v>
      </c>
      <c r="H56" s="2">
        <v>11</v>
      </c>
      <c r="I56" s="3">
        <v>25000</v>
      </c>
      <c r="J56" s="3">
        <v>275000</v>
      </c>
      <c r="K56" s="3">
        <v>55000</v>
      </c>
      <c r="L56" s="3">
        <v>220000</v>
      </c>
      <c r="M56" s="4">
        <v>80</v>
      </c>
    </row>
    <row r="57" spans="1:13" x14ac:dyDescent="0.3">
      <c r="A57" s="5" t="s">
        <v>93</v>
      </c>
      <c r="B57" s="5" t="s">
        <v>83</v>
      </c>
      <c r="C57" s="5" t="s">
        <v>67</v>
      </c>
      <c r="D57" s="5" t="s">
        <v>21</v>
      </c>
      <c r="E57" s="5" t="s">
        <v>22</v>
      </c>
      <c r="F57" s="5" t="s">
        <v>18</v>
      </c>
      <c r="G57" s="5" t="s">
        <v>19</v>
      </c>
      <c r="H57" s="5">
        <v>16</v>
      </c>
      <c r="I57" s="6">
        <v>5000</v>
      </c>
      <c r="J57" s="6">
        <v>80000</v>
      </c>
      <c r="K57" s="6">
        <v>32000</v>
      </c>
      <c r="L57" s="6">
        <v>48000</v>
      </c>
      <c r="M57" s="7">
        <v>60</v>
      </c>
    </row>
    <row r="58" spans="1:13" x14ac:dyDescent="0.3">
      <c r="A58" s="2" t="s">
        <v>94</v>
      </c>
      <c r="B58" s="2" t="s">
        <v>83</v>
      </c>
      <c r="C58" s="2" t="s">
        <v>67</v>
      </c>
      <c r="D58" s="2" t="s">
        <v>26</v>
      </c>
      <c r="E58" s="2" t="s">
        <v>27</v>
      </c>
      <c r="F58" s="2" t="s">
        <v>28</v>
      </c>
      <c r="G58" s="2" t="s">
        <v>29</v>
      </c>
      <c r="H58" s="2">
        <v>9</v>
      </c>
      <c r="I58" s="3">
        <v>12000</v>
      </c>
      <c r="J58" s="3">
        <v>108000</v>
      </c>
      <c r="K58" s="3">
        <v>59400</v>
      </c>
      <c r="L58" s="3">
        <v>48600</v>
      </c>
      <c r="M58" s="4">
        <v>45</v>
      </c>
    </row>
    <row r="59" spans="1:13" x14ac:dyDescent="0.3">
      <c r="A59" s="5" t="s">
        <v>95</v>
      </c>
      <c r="B59" s="5" t="s">
        <v>83</v>
      </c>
      <c r="C59" s="5" t="s">
        <v>67</v>
      </c>
      <c r="D59" s="5" t="s">
        <v>31</v>
      </c>
      <c r="E59" s="5" t="s">
        <v>32</v>
      </c>
      <c r="F59" s="5" t="s">
        <v>23</v>
      </c>
      <c r="G59" s="5" t="s">
        <v>24</v>
      </c>
      <c r="H59" s="5">
        <v>12</v>
      </c>
      <c r="I59" s="6">
        <v>25000</v>
      </c>
      <c r="J59" s="6">
        <v>300000</v>
      </c>
      <c r="K59" s="6">
        <v>60000</v>
      </c>
      <c r="L59" s="6">
        <v>240000</v>
      </c>
      <c r="M59" s="7">
        <v>80</v>
      </c>
    </row>
    <row r="60" spans="1:13" x14ac:dyDescent="0.3">
      <c r="A60" s="2" t="s">
        <v>96</v>
      </c>
      <c r="B60" s="2" t="s">
        <v>83</v>
      </c>
      <c r="C60" s="2" t="s">
        <v>67</v>
      </c>
      <c r="D60" s="2" t="s">
        <v>40</v>
      </c>
      <c r="E60" s="2" t="s">
        <v>41</v>
      </c>
      <c r="F60" s="2" t="s">
        <v>38</v>
      </c>
      <c r="G60" s="2" t="s">
        <v>29</v>
      </c>
      <c r="H60" s="2">
        <v>6</v>
      </c>
      <c r="I60" s="3">
        <v>8000</v>
      </c>
      <c r="J60" s="3">
        <v>48000</v>
      </c>
      <c r="K60" s="3">
        <v>28800</v>
      </c>
      <c r="L60" s="3">
        <v>19200</v>
      </c>
      <c r="M60" s="4">
        <v>40</v>
      </c>
    </row>
    <row r="61" spans="1:13" x14ac:dyDescent="0.3">
      <c r="A61" s="5" t="s">
        <v>97</v>
      </c>
      <c r="B61" s="5" t="s">
        <v>83</v>
      </c>
      <c r="C61" s="5" t="s">
        <v>67</v>
      </c>
      <c r="D61" s="5" t="s">
        <v>16</v>
      </c>
      <c r="E61" s="5" t="s">
        <v>17</v>
      </c>
      <c r="F61" s="5" t="s">
        <v>18</v>
      </c>
      <c r="G61" s="5" t="s">
        <v>19</v>
      </c>
      <c r="H61" s="5">
        <v>19</v>
      </c>
      <c r="I61" s="6">
        <v>5000</v>
      </c>
      <c r="J61" s="6">
        <v>95000</v>
      </c>
      <c r="K61" s="6">
        <v>38000</v>
      </c>
      <c r="L61" s="6">
        <v>57000</v>
      </c>
      <c r="M61" s="7">
        <v>60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0"/>
  <sheetViews>
    <sheetView showGridLines="0" tabSelected="1" zoomScale="80" zoomScaleNormal="100" workbookViewId="0">
      <selection activeCell="I5" sqref="I5"/>
    </sheetView>
  </sheetViews>
  <sheetFormatPr defaultColWidth="8.6640625" defaultRowHeight="14.4" x14ac:dyDescent="0.3"/>
  <cols>
    <col min="1" max="1" width="18" customWidth="1"/>
    <col min="2" max="2" width="60" customWidth="1"/>
    <col min="6" max="6" width="12.5546875" bestFit="1" customWidth="1"/>
    <col min="7" max="7" width="14.88671875" bestFit="1" customWidth="1"/>
    <col min="9" max="9" width="12.5546875" bestFit="1" customWidth="1"/>
    <col min="10" max="10" width="14.88671875" bestFit="1" customWidth="1"/>
    <col min="13" max="13" width="20.77734375" bestFit="1" customWidth="1"/>
  </cols>
  <sheetData>
    <row r="1" spans="1:17" ht="17.399999999999999" x14ac:dyDescent="0.3">
      <c r="A1" s="8" t="s">
        <v>98</v>
      </c>
    </row>
    <row r="2" spans="1:17" x14ac:dyDescent="0.3">
      <c r="A2" s="9" t="s">
        <v>99</v>
      </c>
    </row>
    <row r="4" spans="1:17" x14ac:dyDescent="0.3">
      <c r="A4" s="10" t="s">
        <v>100</v>
      </c>
      <c r="B4" s="10" t="s">
        <v>101</v>
      </c>
      <c r="F4" s="13" t="s">
        <v>116</v>
      </c>
      <c r="G4" s="13"/>
      <c r="I4" s="14" t="s">
        <v>117</v>
      </c>
      <c r="J4" s="14"/>
      <c r="L4" s="14" t="s">
        <v>118</v>
      </c>
      <c r="M4" s="14"/>
    </row>
    <row r="5" spans="1:17" x14ac:dyDescent="0.3">
      <c r="A5" s="11" t="s">
        <v>102</v>
      </c>
      <c r="B5" s="12" t="s">
        <v>103</v>
      </c>
      <c r="F5" s="23" t="s">
        <v>119</v>
      </c>
      <c r="G5" t="s">
        <v>120</v>
      </c>
      <c r="I5" s="23" t="s">
        <v>119</v>
      </c>
      <c r="J5" t="s">
        <v>120</v>
      </c>
      <c r="L5" s="24" t="s">
        <v>119</v>
      </c>
      <c r="M5" t="s">
        <v>121</v>
      </c>
    </row>
    <row r="6" spans="1:17" x14ac:dyDescent="0.3">
      <c r="A6" s="11" t="s">
        <v>104</v>
      </c>
      <c r="B6" s="12" t="s">
        <v>105</v>
      </c>
      <c r="F6" s="15" t="s">
        <v>40</v>
      </c>
      <c r="G6" s="16">
        <v>982500</v>
      </c>
      <c r="I6" s="15" t="s">
        <v>27</v>
      </c>
      <c r="J6" s="16">
        <v>1103000</v>
      </c>
      <c r="L6" s="17" t="s">
        <v>23</v>
      </c>
      <c r="M6" s="18">
        <v>1120</v>
      </c>
    </row>
    <row r="7" spans="1:17" x14ac:dyDescent="0.3">
      <c r="A7" s="11" t="s">
        <v>106</v>
      </c>
      <c r="B7" s="12" t="s">
        <v>107</v>
      </c>
      <c r="F7" s="15" t="s">
        <v>31</v>
      </c>
      <c r="G7" s="16">
        <v>1423000</v>
      </c>
      <c r="I7" s="17" t="s">
        <v>22</v>
      </c>
      <c r="J7" s="19">
        <v>1490000</v>
      </c>
      <c r="L7" s="15" t="s">
        <v>38</v>
      </c>
      <c r="M7" s="20">
        <v>400</v>
      </c>
    </row>
    <row r="8" spans="1:17" x14ac:dyDescent="0.3">
      <c r="A8" s="11" t="s">
        <v>108</v>
      </c>
      <c r="B8" s="12" t="s">
        <v>109</v>
      </c>
      <c r="F8" s="15" t="s">
        <v>16</v>
      </c>
      <c r="G8" s="16">
        <v>1406500</v>
      </c>
      <c r="I8" s="15" t="s">
        <v>17</v>
      </c>
      <c r="J8" s="16">
        <v>1406500</v>
      </c>
      <c r="L8" s="15" t="s">
        <v>18</v>
      </c>
      <c r="M8" s="20">
        <v>840</v>
      </c>
    </row>
    <row r="9" spans="1:17" x14ac:dyDescent="0.3">
      <c r="A9" s="11" t="s">
        <v>110</v>
      </c>
      <c r="B9" s="12" t="s">
        <v>111</v>
      </c>
      <c r="F9" s="17" t="s">
        <v>21</v>
      </c>
      <c r="G9" s="19">
        <v>1490000</v>
      </c>
      <c r="I9" s="15" t="s">
        <v>32</v>
      </c>
      <c r="J9" s="16">
        <v>1423000</v>
      </c>
      <c r="L9" s="15" t="s">
        <v>33</v>
      </c>
      <c r="M9" s="20">
        <v>840</v>
      </c>
    </row>
    <row r="10" spans="1:17" x14ac:dyDescent="0.3">
      <c r="A10" s="11" t="s">
        <v>112</v>
      </c>
      <c r="B10" s="12" t="s">
        <v>113</v>
      </c>
      <c r="F10" s="15" t="s">
        <v>26</v>
      </c>
      <c r="G10" s="16">
        <v>1103000</v>
      </c>
      <c r="I10" s="15" t="s">
        <v>41</v>
      </c>
      <c r="J10" s="16">
        <v>982500</v>
      </c>
      <c r="L10" s="15" t="s">
        <v>28</v>
      </c>
      <c r="M10" s="20">
        <v>450</v>
      </c>
    </row>
    <row r="11" spans="1:17" x14ac:dyDescent="0.3">
      <c r="A11" s="11" t="s">
        <v>114</v>
      </c>
      <c r="B11" s="12" t="s">
        <v>115</v>
      </c>
      <c r="F11" s="15" t="s">
        <v>122</v>
      </c>
      <c r="G11" s="16">
        <v>6405000</v>
      </c>
      <c r="I11" s="15" t="s">
        <v>122</v>
      </c>
      <c r="J11" s="16">
        <v>6405000</v>
      </c>
      <c r="L11" s="15" t="s">
        <v>122</v>
      </c>
      <c r="M11" s="20">
        <v>3650</v>
      </c>
    </row>
    <row r="13" spans="1:17" x14ac:dyDescent="0.3">
      <c r="F13" s="14" t="s">
        <v>123</v>
      </c>
      <c r="G13" s="14"/>
      <c r="I13" s="14" t="s">
        <v>124</v>
      </c>
      <c r="J13" s="14"/>
      <c r="L13" s="21"/>
      <c r="M13" s="21"/>
      <c r="N13" s="21" t="s">
        <v>125</v>
      </c>
      <c r="O13" s="21"/>
      <c r="P13" s="21"/>
      <c r="Q13" s="21"/>
    </row>
    <row r="14" spans="1:17" x14ac:dyDescent="0.3">
      <c r="F14" s="23" t="s">
        <v>119</v>
      </c>
      <c r="G14" t="s">
        <v>120</v>
      </c>
      <c r="I14" s="23" t="s">
        <v>119</v>
      </c>
      <c r="J14" t="s">
        <v>126</v>
      </c>
    </row>
    <row r="15" spans="1:17" x14ac:dyDescent="0.3">
      <c r="F15" s="17" t="s">
        <v>24</v>
      </c>
      <c r="G15" s="19">
        <v>3225000</v>
      </c>
      <c r="I15" s="15" t="s">
        <v>14</v>
      </c>
      <c r="J15">
        <v>181</v>
      </c>
    </row>
    <row r="16" spans="1:17" x14ac:dyDescent="0.3">
      <c r="F16" s="15" t="s">
        <v>29</v>
      </c>
      <c r="G16" s="16">
        <v>1440000</v>
      </c>
      <c r="I16" s="15" t="s">
        <v>49</v>
      </c>
      <c r="J16">
        <v>92</v>
      </c>
    </row>
    <row r="17" spans="6:10" x14ac:dyDescent="0.3">
      <c r="F17" s="15" t="s">
        <v>19</v>
      </c>
      <c r="G17" s="16">
        <v>1740000</v>
      </c>
      <c r="I17" s="15" t="s">
        <v>60</v>
      </c>
      <c r="J17">
        <v>73</v>
      </c>
    </row>
    <row r="18" spans="6:10" x14ac:dyDescent="0.3">
      <c r="F18" s="15" t="s">
        <v>122</v>
      </c>
      <c r="G18" s="16">
        <v>6405000</v>
      </c>
      <c r="I18" s="15" t="s">
        <v>66</v>
      </c>
      <c r="J18">
        <v>201</v>
      </c>
    </row>
    <row r="19" spans="6:10" x14ac:dyDescent="0.3">
      <c r="I19" s="17" t="s">
        <v>83</v>
      </c>
      <c r="J19" s="22">
        <v>209</v>
      </c>
    </row>
    <row r="20" spans="6:10" x14ac:dyDescent="0.3">
      <c r="I20" s="15" t="s">
        <v>122</v>
      </c>
      <c r="J20">
        <v>756</v>
      </c>
    </row>
  </sheetData>
  <mergeCells count="5">
    <mergeCell ref="F4:G4"/>
    <mergeCell ref="I4:J4"/>
    <mergeCell ref="L4:M4"/>
    <mergeCell ref="F13:G13"/>
    <mergeCell ref="I13:J13"/>
  </mergeCells>
  <pageMargins left="0.75" right="0.75" top="1" bottom="1" header="0.511811023622047" footer="0.511811023622047"/>
  <pageSetup paperSize="9" orientation="portrait" horizontalDpi="300" verticalDpi="300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6C69B-4438-4C32-AD09-C754D6C4CB26}">
  <dimension ref="A2:G17"/>
  <sheetViews>
    <sheetView workbookViewId="0">
      <selection activeCell="A2" sqref="A2"/>
    </sheetView>
  </sheetViews>
  <sheetFormatPr defaultRowHeight="14.4" x14ac:dyDescent="0.3"/>
  <cols>
    <col min="1" max="1" width="12.5546875" bestFit="1" customWidth="1"/>
    <col min="2" max="2" width="14.88671875" bestFit="1" customWidth="1"/>
  </cols>
  <sheetData>
    <row r="2" spans="1:7" x14ac:dyDescent="0.3">
      <c r="A2" s="23" t="s">
        <v>119</v>
      </c>
      <c r="B2" t="s">
        <v>120</v>
      </c>
      <c r="D2" s="23" t="s">
        <v>120</v>
      </c>
      <c r="E2" s="23" t="s">
        <v>127</v>
      </c>
    </row>
    <row r="3" spans="1:7" x14ac:dyDescent="0.3">
      <c r="A3" s="15" t="s">
        <v>26</v>
      </c>
      <c r="B3" s="16">
        <v>1103000</v>
      </c>
      <c r="D3" s="23" t="s">
        <v>119</v>
      </c>
      <c r="E3" t="s">
        <v>15</v>
      </c>
      <c r="F3" t="s">
        <v>67</v>
      </c>
      <c r="G3" t="s">
        <v>122</v>
      </c>
    </row>
    <row r="4" spans="1:7" x14ac:dyDescent="0.3">
      <c r="A4" s="17" t="s">
        <v>21</v>
      </c>
      <c r="B4" s="19">
        <v>1490000</v>
      </c>
      <c r="D4" s="15" t="s">
        <v>40</v>
      </c>
      <c r="E4" s="25">
        <v>5.4722872755659638E-2</v>
      </c>
      <c r="F4" s="25">
        <v>9.8672911787665893E-2</v>
      </c>
      <c r="G4" s="25">
        <v>0.15339578454332553</v>
      </c>
    </row>
    <row r="5" spans="1:7" x14ac:dyDescent="0.3">
      <c r="A5" s="15" t="s">
        <v>16</v>
      </c>
      <c r="B5" s="16">
        <v>1406500</v>
      </c>
      <c r="D5" s="15" t="s">
        <v>31</v>
      </c>
      <c r="E5" s="25">
        <v>8.4465261514441836E-2</v>
      </c>
      <c r="F5" s="25">
        <v>0.13770491803278689</v>
      </c>
      <c r="G5" s="25">
        <v>0.22217017954722873</v>
      </c>
    </row>
    <row r="6" spans="1:7" x14ac:dyDescent="0.3">
      <c r="A6" s="15" t="s">
        <v>31</v>
      </c>
      <c r="B6" s="16">
        <v>1423000</v>
      </c>
      <c r="D6" s="15" t="s">
        <v>16</v>
      </c>
      <c r="E6" s="25">
        <v>0.10671350507416082</v>
      </c>
      <c r="F6" s="25">
        <v>0.11288056206088994</v>
      </c>
      <c r="G6" s="25">
        <v>0.21959406713505075</v>
      </c>
    </row>
    <row r="7" spans="1:7" x14ac:dyDescent="0.3">
      <c r="A7" s="15" t="s">
        <v>40</v>
      </c>
      <c r="B7" s="16">
        <v>982500</v>
      </c>
      <c r="D7" s="17" t="s">
        <v>21</v>
      </c>
      <c r="E7" s="26">
        <v>0.12092115534738486</v>
      </c>
      <c r="F7" s="26">
        <v>0.1117096018735363</v>
      </c>
      <c r="G7" s="26">
        <v>0.23263075722092116</v>
      </c>
    </row>
    <row r="8" spans="1:7" x14ac:dyDescent="0.3">
      <c r="A8" s="15" t="s">
        <v>122</v>
      </c>
      <c r="B8" s="16">
        <v>6405000</v>
      </c>
      <c r="D8" s="15" t="s">
        <v>26</v>
      </c>
      <c r="E8" s="25">
        <v>8.9617486338797819E-2</v>
      </c>
      <c r="F8" s="25">
        <v>8.2591725214676032E-2</v>
      </c>
      <c r="G8" s="25">
        <v>0.17220921155347385</v>
      </c>
    </row>
    <row r="9" spans="1:7" x14ac:dyDescent="0.3">
      <c r="D9" s="15" t="s">
        <v>122</v>
      </c>
      <c r="E9" s="25">
        <v>0.45644028103044498</v>
      </c>
      <c r="F9" s="25">
        <v>0.54355971896955502</v>
      </c>
      <c r="G9" s="25">
        <v>1</v>
      </c>
    </row>
    <row r="11" spans="1:7" x14ac:dyDescent="0.3">
      <c r="A11" s="23" t="s">
        <v>119</v>
      </c>
      <c r="B11" t="s">
        <v>128</v>
      </c>
    </row>
    <row r="12" spans="1:7" x14ac:dyDescent="0.3">
      <c r="A12" s="17" t="s">
        <v>23</v>
      </c>
      <c r="B12" s="18">
        <v>80</v>
      </c>
    </row>
    <row r="13" spans="1:7" x14ac:dyDescent="0.3">
      <c r="A13" s="15" t="s">
        <v>38</v>
      </c>
      <c r="B13" s="20">
        <v>40</v>
      </c>
    </row>
    <row r="14" spans="1:7" x14ac:dyDescent="0.3">
      <c r="A14" s="15" t="s">
        <v>18</v>
      </c>
      <c r="B14" s="20">
        <v>60</v>
      </c>
    </row>
    <row r="15" spans="1:7" x14ac:dyDescent="0.3">
      <c r="A15" s="15" t="s">
        <v>33</v>
      </c>
      <c r="B15" s="20">
        <v>70</v>
      </c>
    </row>
    <row r="16" spans="1:7" x14ac:dyDescent="0.3">
      <c r="A16" s="15" t="s">
        <v>28</v>
      </c>
      <c r="B16" s="20">
        <v>45</v>
      </c>
    </row>
    <row r="17" spans="1:2" x14ac:dyDescent="0.3">
      <c r="A17" s="15" t="s">
        <v>122</v>
      </c>
      <c r="B17" s="20">
        <v>60.833333333333336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Sales_Data</vt:lpstr>
      <vt:lpstr>Pivot_Tasks</vt:lpstr>
      <vt:lpstr>Practice_Sheet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Bhanu Pratap Singh</cp:lastModifiedBy>
  <cp:revision>0</cp:revision>
  <dcterms:created xsi:type="dcterms:W3CDTF">2026-04-29T19:41:51Z</dcterms:created>
  <dcterms:modified xsi:type="dcterms:W3CDTF">2026-05-01T10:10:32Z</dcterms:modified>
  <dc:language>en-US</dc:language>
</cp:coreProperties>
</file>